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022. Private Equity\PE Firms\Noblestride Dealflow Limited\Tier Data _ Centum\"/>
    </mc:Choice>
  </mc:AlternateContent>
  <xr:revisionPtr revIDLastSave="0" documentId="13_ncr:1_{A78F30E4-C2BC-4D98-A91F-F6C75A3249CB}" xr6:coauthVersionLast="47" xr6:coauthVersionMax="47" xr10:uidLastSave="{00000000-0000-0000-0000-000000000000}"/>
  <bookViews>
    <workbookView xWindow="-110" yWindow="-110" windowWidth="19420" windowHeight="11500" firstSheet="1" activeTab="1" xr2:uid="{3268CCFE-DB84-4C12-AE65-0E11663FAFB0}"/>
  </bookViews>
  <sheets>
    <sheet name="Dashboard" sheetId="3" r:id="rId1"/>
    <sheet name="Task Tracker" sheetId="1" r:id="rId2"/>
    <sheet name="Lists" sheetId="2" state="hidden" r:id="rId3"/>
  </sheets>
  <definedNames>
    <definedName name="_xlnm._FilterDatabase" localSheetId="2" hidden="1">Lists!$D$1:$D$18</definedName>
    <definedName name="_xlnm._FilterDatabase" localSheetId="1" hidden="1">'Task Tracker'!$A$1:$K$441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41" i="1" l="1"/>
  <c r="E440" i="1"/>
  <c r="E439" i="1"/>
  <c r="E430" i="1" l="1"/>
  <c r="E428" i="1"/>
  <c r="E425" i="1"/>
  <c r="E427" i="1"/>
  <c r="E426" i="1"/>
  <c r="E424" i="1"/>
  <c r="E423" i="1"/>
  <c r="E434" i="1"/>
  <c r="E433" i="1"/>
  <c r="E432" i="1"/>
  <c r="E431" i="1"/>
  <c r="E422" i="1"/>
  <c r="E438" i="1"/>
  <c r="E437" i="1"/>
  <c r="E421" i="1"/>
  <c r="E418" i="1"/>
  <c r="E415" i="1"/>
  <c r="E414" i="1"/>
  <c r="E413" i="1"/>
  <c r="E397" i="1" l="1"/>
  <c r="E396" i="1"/>
  <c r="E395" i="1"/>
  <c r="E394" i="1"/>
  <c r="E393" i="1"/>
  <c r="E392" i="1"/>
  <c r="E391" i="1"/>
  <c r="E381" i="1"/>
  <c r="E380" i="1"/>
  <c r="E379" i="1"/>
  <c r="E377" i="1"/>
  <c r="E376" i="1"/>
  <c r="E375" i="1"/>
  <c r="E374" i="1"/>
  <c r="E373" i="1"/>
  <c r="E372" i="1"/>
  <c r="E371" i="1"/>
  <c r="E369" i="1"/>
  <c r="E368" i="1"/>
  <c r="E367" i="1"/>
  <c r="E366" i="1"/>
  <c r="E365" i="1"/>
  <c r="E364" i="1"/>
  <c r="E361" i="1"/>
  <c r="E360" i="1"/>
  <c r="E359" i="1"/>
  <c r="E358" i="1"/>
  <c r="E348" i="1" l="1"/>
  <c r="E349" i="1"/>
  <c r="E350" i="1"/>
  <c r="E351" i="1"/>
  <c r="E352" i="1"/>
  <c r="E353" i="1"/>
  <c r="E354" i="1"/>
  <c r="E355" i="1"/>
  <c r="E356" i="1"/>
  <c r="E357" i="1"/>
  <c r="E347" i="1"/>
  <c r="E346" i="1"/>
  <c r="E345" i="1"/>
  <c r="E344" i="1"/>
  <c r="E343" i="1"/>
  <c r="E342" i="1"/>
  <c r="E341" i="1"/>
  <c r="E340" i="1"/>
  <c r="E339" i="1"/>
  <c r="E338" i="1"/>
  <c r="E337" i="1"/>
  <c r="E336" i="1"/>
  <c r="E335" i="1"/>
  <c r="E334" i="1"/>
  <c r="E329" i="1"/>
  <c r="E328" i="1"/>
  <c r="E327" i="1"/>
  <c r="E326" i="1"/>
  <c r="E325" i="1"/>
  <c r="E324" i="1"/>
  <c r="O10" i="3"/>
  <c r="N10" i="3"/>
  <c r="M10" i="3"/>
  <c r="L10" i="3"/>
  <c r="K10" i="3"/>
  <c r="J10" i="3"/>
  <c r="I10" i="3"/>
  <c r="H10" i="3"/>
  <c r="G10" i="3"/>
  <c r="F10" i="3"/>
  <c r="E10" i="3"/>
  <c r="D10" i="3"/>
  <c r="C10" i="3"/>
  <c r="O8" i="3"/>
  <c r="N8" i="3"/>
  <c r="M8" i="3"/>
  <c r="L8" i="3"/>
  <c r="K8" i="3"/>
  <c r="J8" i="3"/>
  <c r="I8" i="3"/>
  <c r="H8" i="3"/>
  <c r="G8" i="3"/>
  <c r="F8" i="3"/>
  <c r="E8" i="3"/>
  <c r="D8" i="3"/>
  <c r="C8" i="3"/>
  <c r="O7" i="3"/>
  <c r="N7" i="3"/>
  <c r="M7" i="3"/>
  <c r="L7" i="3"/>
  <c r="K7" i="3"/>
  <c r="J7" i="3"/>
  <c r="I7" i="3"/>
  <c r="H7" i="3"/>
  <c r="G7" i="3"/>
  <c r="F7" i="3"/>
  <c r="E7" i="3"/>
  <c r="D7" i="3"/>
  <c r="C7" i="3"/>
  <c r="O6" i="3"/>
  <c r="N6" i="3"/>
  <c r="M6" i="3"/>
  <c r="L6" i="3"/>
  <c r="K6" i="3"/>
  <c r="J6" i="3"/>
  <c r="I6" i="3"/>
  <c r="H6" i="3"/>
  <c r="G6" i="3"/>
  <c r="F6" i="3"/>
  <c r="E6" i="3"/>
  <c r="D6" i="3"/>
  <c r="C6" i="3"/>
  <c r="O5" i="3"/>
  <c r="N5" i="3"/>
  <c r="M5" i="3"/>
  <c r="L5" i="3"/>
  <c r="K5" i="3"/>
  <c r="J5" i="3"/>
  <c r="I5" i="3"/>
  <c r="H5" i="3"/>
  <c r="G5" i="3"/>
  <c r="F5" i="3"/>
  <c r="E5" i="3"/>
  <c r="D5" i="3"/>
  <c r="C5" i="3"/>
  <c r="O4" i="3"/>
  <c r="N4" i="3"/>
  <c r="M4" i="3"/>
  <c r="L4" i="3"/>
  <c r="K4" i="3"/>
  <c r="J4" i="3"/>
  <c r="I4" i="3"/>
  <c r="H4" i="3"/>
  <c r="G4" i="3"/>
  <c r="F4" i="3"/>
  <c r="E4" i="3"/>
  <c r="D4" i="3"/>
  <c r="C4" i="3"/>
  <c r="E321" i="1" l="1"/>
  <c r="E319" i="1"/>
  <c r="E318" i="1"/>
  <c r="E317" i="1"/>
  <c r="E316" i="1"/>
  <c r="E315" i="1"/>
  <c r="E314" i="1"/>
  <c r="E313" i="1"/>
  <c r="E312" i="1"/>
  <c r="E311" i="1"/>
  <c r="E310" i="1"/>
  <c r="E309" i="1"/>
  <c r="E308" i="1"/>
  <c r="E306" i="1"/>
  <c r="E305" i="1"/>
  <c r="E304" i="1"/>
  <c r="E303" i="1"/>
  <c r="E302" i="1"/>
  <c r="E301" i="1"/>
  <c r="E300" i="1"/>
  <c r="E299" i="1"/>
  <c r="E298" i="1"/>
  <c r="E297" i="1"/>
  <c r="E293" i="1"/>
  <c r="E292" i="1"/>
  <c r="E291" i="1"/>
  <c r="E290" i="1"/>
  <c r="E289" i="1"/>
  <c r="E288" i="1"/>
  <c r="E287" i="1"/>
  <c r="E286" i="1"/>
  <c r="E285" i="1"/>
  <c r="E284" i="1"/>
  <c r="E283" i="1"/>
  <c r="E282" i="1" l="1"/>
  <c r="E281" i="1"/>
  <c r="E280" i="1"/>
  <c r="E279" i="1"/>
  <c r="E274" i="1"/>
  <c r="E268"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36"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s="1"/>
  <c r="E205" i="1"/>
  <c r="E163" i="1"/>
  <c r="E164" i="1" s="1"/>
  <c r="E165" i="1" s="1"/>
  <c r="E166" i="1" s="1"/>
  <c r="E167" i="1" s="1"/>
  <c r="E168" i="1" s="1"/>
  <c r="E169" i="1" s="1"/>
  <c r="E170" i="1" s="1"/>
  <c r="E171" i="1" s="1"/>
  <c r="E172" i="1" s="1"/>
  <c r="E173" i="1" s="1"/>
  <c r="E174" i="1" s="1"/>
  <c r="E175" i="1" s="1"/>
  <c r="E176" i="1" s="1"/>
  <c r="E177" i="1" s="1"/>
  <c r="E178" i="1" s="1"/>
  <c r="E179" i="1" s="1"/>
  <c r="E180" i="1" s="1"/>
  <c r="E181" i="1" s="1"/>
  <c r="E182" i="1" s="1"/>
  <c r="E183" i="1" s="1"/>
  <c r="E184" i="1" s="1"/>
  <c r="E185" i="1" s="1"/>
  <c r="E186" i="1" s="1"/>
  <c r="E187" i="1" s="1"/>
  <c r="E188" i="1" s="1"/>
  <c r="E189" i="1" s="1"/>
  <c r="E190" i="1" s="1"/>
  <c r="E191" i="1" s="1"/>
  <c r="E192" i="1" s="1"/>
  <c r="E193" i="1" s="1"/>
  <c r="E194" i="1" s="1"/>
  <c r="E195" i="1" s="1"/>
  <c r="E196" i="1" s="1"/>
  <c r="N2" i="3"/>
  <c r="M2" i="3"/>
  <c r="L2" i="3"/>
  <c r="K2" i="3"/>
  <c r="J2" i="3"/>
  <c r="I2" i="3"/>
  <c r="H2" i="3"/>
  <c r="G2" i="3"/>
  <c r="F2" i="3"/>
  <c r="E2" i="3"/>
  <c r="D2" i="3"/>
  <c r="C2" i="3"/>
  <c r="B5" i="3"/>
  <c r="B6" i="3"/>
  <c r="B7" i="3"/>
  <c r="B8" i="3"/>
  <c r="B4" i="3"/>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21" i="1"/>
  <c r="E71" i="1"/>
  <c r="E72" i="1" s="1"/>
  <c r="E73" i="1" s="1"/>
  <c r="E74" i="1" s="1"/>
  <c r="E75" i="1" s="1"/>
  <c r="E76" i="1" s="1"/>
  <c r="E82" i="1" s="1"/>
  <c r="E83" i="1" s="1"/>
  <c r="E84" i="1" s="1"/>
  <c r="E85" i="1" s="1"/>
  <c r="E86" i="1" s="1"/>
  <c r="E87" i="1" s="1"/>
  <c r="E60" i="1"/>
  <c r="E61" i="1" s="1"/>
  <c r="E62" i="1" s="1"/>
  <c r="E63" i="1" s="1"/>
  <c r="E64" i="1" s="1"/>
  <c r="E65" i="1" s="1"/>
  <c r="E4" i="1"/>
  <c r="E5" i="1" s="1"/>
  <c r="E6" i="1" s="1"/>
  <c r="E7" i="1" s="1"/>
  <c r="E8" i="1" s="1"/>
  <c r="E9" i="1" s="1"/>
  <c r="E10" i="1" s="1"/>
  <c r="E11" i="1" s="1"/>
  <c r="E12" i="1" s="1"/>
  <c r="E13" i="1" s="1"/>
  <c r="E14" i="1" s="1"/>
  <c r="E15" i="1" s="1"/>
  <c r="E16" i="1" s="1"/>
  <c r="E17" i="1" s="1"/>
  <c r="E18" i="1" s="1"/>
  <c r="E19" i="1" s="1"/>
  <c r="E20" i="1" s="1"/>
  <c r="E21" i="1" s="1"/>
  <c r="E22" i="1" s="1"/>
  <c r="E23" i="1" s="1"/>
  <c r="E24" i="1" s="1"/>
  <c r="E25" i="1" s="1"/>
  <c r="E26" i="1" s="1"/>
  <c r="E27" i="1" s="1"/>
  <c r="E28" i="1" s="1"/>
  <c r="E29" i="1" s="1"/>
  <c r="E30" i="1" s="1"/>
  <c r="E31" i="1" s="1"/>
  <c r="E32" i="1" s="1"/>
  <c r="E33" i="1" s="1"/>
  <c r="E34" i="1" s="1"/>
  <c r="E35" i="1" s="1"/>
  <c r="E36" i="1" s="1"/>
  <c r="E37" i="1" s="1"/>
  <c r="E38" i="1" s="1"/>
  <c r="E39" i="1" s="1"/>
  <c r="E40" i="1" s="1"/>
  <c r="E41" i="1" s="1"/>
  <c r="E42" i="1" s="1"/>
  <c r="E43" i="1" s="1"/>
  <c r="E44" i="1" s="1"/>
  <c r="E45" i="1" s="1"/>
  <c r="E46" i="1" s="1"/>
  <c r="E47" i="1" s="1"/>
  <c r="E48" i="1" s="1"/>
  <c r="E49" i="1" s="1"/>
  <c r="E50" i="1" s="1"/>
  <c r="E51" i="1" s="1"/>
  <c r="E52" i="1" s="1"/>
  <c r="E53" i="1" s="1"/>
  <c r="E54" i="1" s="1"/>
  <c r="E197" i="1" l="1"/>
  <c r="E198" i="1" s="1"/>
  <c r="E199" i="1" s="1"/>
  <c r="E200" i="1" s="1"/>
  <c r="E88" i="1"/>
  <c r="E89" i="1" s="1"/>
  <c r="E90" i="1" s="1"/>
  <c r="E91" i="1" s="1"/>
  <c r="E92" i="1" s="1"/>
  <c r="E93" i="1" s="1"/>
  <c r="E94" i="1" s="1"/>
  <c r="E95" i="1" s="1"/>
  <c r="E96" i="1" s="1"/>
  <c r="E97" i="1" s="1"/>
  <c r="E98" i="1" s="1"/>
  <c r="E99" i="1" s="1"/>
  <c r="E100" i="1" s="1"/>
  <c r="E101" i="1" s="1"/>
  <c r="E102" i="1" s="1"/>
  <c r="E103" i="1" s="1"/>
  <c r="E104" i="1" s="1"/>
  <c r="E105" i="1" s="1"/>
  <c r="E106" i="1" s="1"/>
  <c r="E107" i="1" s="1"/>
  <c r="E108" i="1" s="1"/>
  <c r="E109" i="1" l="1"/>
  <c r="E110" i="1" s="1"/>
  <c r="E111" i="1" s="1"/>
  <c r="E112" i="1" s="1"/>
  <c r="E113" i="1" s="1"/>
  <c r="E114" i="1" s="1"/>
  <c r="E115" i="1" s="1"/>
  <c r="E116" i="1" s="1"/>
  <c r="C9" i="3"/>
  <c r="C11" i="3" s="1"/>
  <c r="G9" i="3"/>
  <c r="G11" i="3" s="1"/>
  <c r="F9" i="3"/>
  <c r="F11" i="3" s="1"/>
  <c r="E9" i="3"/>
  <c r="E11" i="3" s="1"/>
  <c r="D9" i="3"/>
  <c r="D11" i="3" s="1"/>
  <c r="N9" i="3"/>
  <c r="N11" i="3" s="1"/>
  <c r="M9" i="3"/>
  <c r="M11" i="3" s="1"/>
  <c r="L9" i="3"/>
  <c r="L11" i="3" s="1"/>
  <c r="K9" i="3"/>
  <c r="K11" i="3" s="1"/>
  <c r="J9" i="3"/>
  <c r="J11" i="3" s="1"/>
  <c r="I9" i="3"/>
  <c r="I11" i="3" s="1"/>
  <c r="Q8" i="3"/>
  <c r="H9" i="3"/>
  <c r="H11" i="3" s="1"/>
  <c r="Q4" i="3"/>
  <c r="O9" i="3"/>
  <c r="O11" i="3" s="1"/>
  <c r="Q6" i="3"/>
  <c r="Q5" i="3"/>
  <c r="Q10" i="3"/>
  <c r="Q7" i="3"/>
  <c r="Q9" i="3" l="1"/>
  <c r="R8" i="3" s="1"/>
  <c r="R4" i="3" l="1"/>
  <c r="Q11" i="3"/>
  <c r="R5" i="3"/>
  <c r="R6" i="3"/>
  <c r="R7" i="3"/>
  <c r="R9" i="3" l="1"/>
</calcChain>
</file>

<file path=xl/sharedStrings.xml><?xml version="1.0" encoding="utf-8"?>
<sst xmlns="http://schemas.openxmlformats.org/spreadsheetml/2006/main" count="1936" uniqueCount="768">
  <si>
    <t>Task Status</t>
  </si>
  <si>
    <t>Total</t>
  </si>
  <si>
    <t>%</t>
  </si>
  <si>
    <t>Total Tasks</t>
  </si>
  <si>
    <t>Count</t>
  </si>
  <si>
    <t>Check</t>
  </si>
  <si>
    <t>Project/ Client/ Investor</t>
  </si>
  <si>
    <t>Action Point</t>
  </si>
  <si>
    <t>Source</t>
  </si>
  <si>
    <t>Status</t>
  </si>
  <si>
    <t xml:space="preserve">Deadline </t>
  </si>
  <si>
    <t>Owner</t>
  </si>
  <si>
    <t>Assist</t>
  </si>
  <si>
    <t>Notes</t>
  </si>
  <si>
    <t>02 February - 06 February 2026</t>
  </si>
  <si>
    <t>Sunset Diani Beach</t>
  </si>
  <si>
    <t>Send Contract and NDA</t>
  </si>
  <si>
    <t>Done</t>
  </si>
  <si>
    <t>Ken W</t>
  </si>
  <si>
    <t>Jarine, Autospring, Transafrica Water</t>
  </si>
  <si>
    <t>Duncan to coordinate with deal leads</t>
  </si>
  <si>
    <t>Duncan M</t>
  </si>
  <si>
    <t>Woodhall</t>
  </si>
  <si>
    <t>Add on tracker</t>
  </si>
  <si>
    <t>Yula</t>
  </si>
  <si>
    <t>Grant access to VDR and check on the valuation expectations with the founder</t>
  </si>
  <si>
    <t>Cliff N</t>
  </si>
  <si>
    <t>Sheilla W</t>
  </si>
  <si>
    <t>Project Nitrogen, Radium, Curious, agate and manganese</t>
  </si>
  <si>
    <t>Send to Ola Edenbridge</t>
  </si>
  <si>
    <t>Brenda C</t>
  </si>
  <si>
    <t>Okke</t>
  </si>
  <si>
    <t>Send Information on ISM Africa</t>
  </si>
  <si>
    <t>Greenforest</t>
  </si>
  <si>
    <t>Respond to Email revise amount to 500k usd</t>
  </si>
  <si>
    <t>Yongeza</t>
  </si>
  <si>
    <t>Do a write up on closed deal</t>
  </si>
  <si>
    <t>Ivy N</t>
  </si>
  <si>
    <t>St Brigits hospital</t>
  </si>
  <si>
    <t>Irine to share deal with Nelly</t>
  </si>
  <si>
    <t>Irine M</t>
  </si>
  <si>
    <t>Encore medics ltd</t>
  </si>
  <si>
    <t>Put on tracker</t>
  </si>
  <si>
    <t>Eatfresh</t>
  </si>
  <si>
    <t>Women international</t>
  </si>
  <si>
    <t>Follow up on data</t>
  </si>
  <si>
    <t>Friend,Tunisia</t>
  </si>
  <si>
    <t>Susan to review</t>
  </si>
  <si>
    <t>Susan B</t>
  </si>
  <si>
    <t xml:space="preserve">Kashia </t>
  </si>
  <si>
    <t>Start on valuation</t>
  </si>
  <si>
    <t>Jacksos shona</t>
  </si>
  <si>
    <t>Introduce him to yongeza</t>
  </si>
  <si>
    <t>Tip point</t>
  </si>
  <si>
    <t>Check if funds were received</t>
  </si>
  <si>
    <t>Jarine</t>
  </si>
  <si>
    <t>Check with SPE Capital</t>
  </si>
  <si>
    <t>Brian B</t>
  </si>
  <si>
    <t>Speak to Derrick On Yongeza Debt</t>
  </si>
  <si>
    <t>Progressive,DT,Greenforest</t>
  </si>
  <si>
    <t>Prepare deal of the weeks update</t>
  </si>
  <si>
    <t>Diani beach</t>
  </si>
  <si>
    <t>revise the contract fro  2% to 3% success fee</t>
  </si>
  <si>
    <t>Abler Nordic</t>
  </si>
  <si>
    <t>Review termsheet</t>
  </si>
  <si>
    <t>Evans W</t>
  </si>
  <si>
    <t>Jackson</t>
  </si>
  <si>
    <t>Send updated numbers for proteq</t>
  </si>
  <si>
    <t>Double den</t>
  </si>
  <si>
    <t>Confirm the address,rewrite  as its from CEEC</t>
  </si>
  <si>
    <t>COSEF</t>
  </si>
  <si>
    <t>sign NDA</t>
  </si>
  <si>
    <t>Karanja of KG Mills</t>
  </si>
  <si>
    <t>follow up on contract</t>
  </si>
  <si>
    <t>Sidian</t>
  </si>
  <si>
    <t>Follow up on engagement contract</t>
  </si>
  <si>
    <t>Farm Base feeds</t>
  </si>
  <si>
    <t>Donald</t>
  </si>
  <si>
    <t>Send teasers of projects shared on linked</t>
  </si>
  <si>
    <t>Joel M</t>
  </si>
  <si>
    <t>Global Capital BV</t>
  </si>
  <si>
    <t>Save in folder</t>
  </si>
  <si>
    <t>Derrick</t>
  </si>
  <si>
    <t>Data room Access</t>
  </si>
  <si>
    <t>Gaia Impact</t>
  </si>
  <si>
    <t>send deals on Solar energy and mini grids</t>
  </si>
  <si>
    <t>Send ecocan deal</t>
  </si>
  <si>
    <t>Crown</t>
  </si>
  <si>
    <t>Add to legatics</t>
  </si>
  <si>
    <t>Gladys /Cider-vine</t>
  </si>
  <si>
    <t>To be called by Ken,shes seeking a valuation</t>
  </si>
  <si>
    <t>PURA</t>
  </si>
  <si>
    <t xml:space="preserve">Susan to update the teaser to mention that they are open to both debt and equity. </t>
  </si>
  <si>
    <t>Spice world</t>
  </si>
  <si>
    <t>Cliff to follow up on the engagement contract. Susan to add the Tz entity to the live deal tracker</t>
  </si>
  <si>
    <t>Pending retainer pyt</t>
  </si>
  <si>
    <t>Tripple F</t>
  </si>
  <si>
    <t>Client to share the correct set of accounts before NC starts on the assignments</t>
  </si>
  <si>
    <t>Not progressing with deal</t>
  </si>
  <si>
    <t>Tigoni</t>
  </si>
  <si>
    <t>follow up with client to provide data</t>
  </si>
  <si>
    <t>Sotik Assignment</t>
  </si>
  <si>
    <t>Brenda is supposed to travel to Sotik in the 2nd week of Feb</t>
  </si>
  <si>
    <t>Dropped</t>
  </si>
  <si>
    <t>followed up on email</t>
  </si>
  <si>
    <t xml:space="preserve">MCB: </t>
  </si>
  <si>
    <t>DM to follow up with Burak on the arrangements</t>
  </si>
  <si>
    <t>CREAN</t>
  </si>
  <si>
    <t>follow up with the client to pay retainer fees on the IM</t>
  </si>
  <si>
    <t xml:space="preserve">Valley Hospital: </t>
  </si>
  <si>
    <t xml:space="preserve">check with Enko if they can fund them </t>
  </si>
  <si>
    <t xml:space="preserve">South B: </t>
  </si>
  <si>
    <t>follow up on whether the payment has been made</t>
  </si>
  <si>
    <t xml:space="preserve">Crown Healthcare: </t>
  </si>
  <si>
    <t>follow up on closure of the transaction</t>
  </si>
  <si>
    <t xml:space="preserve"> Africa50: </t>
  </si>
  <si>
    <t>Follow up</t>
  </si>
  <si>
    <t>Vicky</t>
  </si>
  <si>
    <t>Send FTG to Vicky from South Africa</t>
  </si>
  <si>
    <t xml:space="preserve">Sealtowers: </t>
  </si>
  <si>
    <t>Seek update form Axian</t>
  </si>
  <si>
    <t xml:space="preserve">KDL: </t>
  </si>
  <si>
    <t>reach out for 2025 number. Follow up with Kevin Kuria Absa and KCB</t>
  </si>
  <si>
    <t xml:space="preserve">BB Finance: </t>
  </si>
  <si>
    <t>Follow up for their feedback on Edenbridge</t>
  </si>
  <si>
    <t xml:space="preserve">NWH: </t>
  </si>
  <si>
    <t>Update NWH IM and send it to Dr. Thenya</t>
  </si>
  <si>
    <t>KCB on double den</t>
  </si>
  <si>
    <t xml:space="preserve">Timeless Timber: </t>
  </si>
  <si>
    <t>Susan to add deal on the tracker</t>
  </si>
  <si>
    <t xml:space="preserve"> </t>
  </si>
  <si>
    <t>09 February - 13 February 2026</t>
  </si>
  <si>
    <t>Enat Bank TOR</t>
  </si>
  <si>
    <t>Ken and Duncan to coordinate</t>
  </si>
  <si>
    <t>The Ethiopian company did not win the bid</t>
  </si>
  <si>
    <t>Share Management Accounts</t>
  </si>
  <si>
    <t xml:space="preserve">So Pure </t>
  </si>
  <si>
    <t>Share data list</t>
  </si>
  <si>
    <t>Paytech</t>
  </si>
  <si>
    <t>prepare a 10 paged concept note</t>
  </si>
  <si>
    <t>Stan</t>
  </si>
  <si>
    <t>Share NDA</t>
  </si>
  <si>
    <t>Premeir credit</t>
  </si>
  <si>
    <t>create NDA and engagement contract</t>
  </si>
  <si>
    <t>IDH.ORG</t>
  </si>
  <si>
    <t>share proposal. Submit proposal as is</t>
  </si>
  <si>
    <t>16 February - 20 February 2026</t>
  </si>
  <si>
    <t>Enterprise France</t>
  </si>
  <si>
    <t>Apply for funding for reclaim and post on linked in</t>
  </si>
  <si>
    <t>Cider Vine</t>
  </si>
  <si>
    <t>Work on valuation proposal</t>
  </si>
  <si>
    <t>Do computations on the termsheet</t>
  </si>
  <si>
    <t>East river</t>
  </si>
  <si>
    <t>Attend meeting</t>
  </si>
  <si>
    <t>Enterprise Finance ltd</t>
  </si>
  <si>
    <t>Prepare an NDA</t>
  </si>
  <si>
    <t>Cool catch</t>
  </si>
  <si>
    <t>Apply for grant</t>
  </si>
  <si>
    <t>Swift credit</t>
  </si>
  <si>
    <t>Follow up on data request</t>
  </si>
  <si>
    <t>23 February - 27 February 2026</t>
  </si>
  <si>
    <t xml:space="preserve">Family Diet: </t>
  </si>
  <si>
    <t>Deactivate VDR link for Inua Capital</t>
  </si>
  <si>
    <t>Grei SEZ</t>
  </si>
  <si>
    <t>Get docs on govt approval,land title and ask for feasibility,share docs with afrexim Bank studies in march 2026</t>
  </si>
  <si>
    <t>Classic Mouldings</t>
  </si>
  <si>
    <t xml:space="preserve">Organize follow-up site visit for Humphrey and Wasilwa </t>
  </si>
  <si>
    <t>Umoja MFI</t>
  </si>
  <si>
    <r>
      <t>Follow up with EQ on 2</t>
    </r>
    <r>
      <rPr>
        <vertAlign val="superscript"/>
        <sz val="10"/>
        <color theme="1"/>
        <rFont val="Californian FB"/>
        <family val="1"/>
      </rPr>
      <t>nd</t>
    </r>
    <r>
      <rPr>
        <sz val="10"/>
        <color theme="1"/>
        <rFont val="Californian FB"/>
        <family val="1"/>
      </rPr>
      <t xml:space="preserve"> Disbursement</t>
    </r>
  </si>
  <si>
    <t>Get group level financials from Mark</t>
  </si>
  <si>
    <t xml:space="preserve">Tip Point: </t>
  </si>
  <si>
    <t>Bank the postdated cheque from the client</t>
  </si>
  <si>
    <t>VCB</t>
  </si>
  <si>
    <t>- Incred Insights DD</t>
  </si>
  <si>
    <t>Wladi wants to push the DD to Sep 2026</t>
  </si>
  <si>
    <t>Complete financial model</t>
  </si>
  <si>
    <t>Should be So Pure</t>
  </si>
  <si>
    <t>MyCredit</t>
  </si>
  <si>
    <t>Complete valuation for Zahari and Zazipay. Follow up with the management to get financial projections and strategic plan/business plan for the equity valuations.</t>
  </si>
  <si>
    <t xml:space="preserve">Kashia: </t>
  </si>
  <si>
    <t>Complete the valuation.</t>
  </si>
  <si>
    <t>New palea</t>
  </si>
  <si>
    <t>- Share deal with Fulton of BluePeak</t>
  </si>
  <si>
    <t>we will pass on it due to its relatively small scale of only $35 million in revenue and its exclusive focus on Kenya.</t>
  </si>
  <si>
    <t xml:space="preserve">U&amp;I: </t>
  </si>
  <si>
    <t xml:space="preserve"> Brenda to follow up with the client for the 2025 accounts</t>
  </si>
  <si>
    <t>Proteq Automation</t>
  </si>
  <si>
    <t>Brenda, Ken- Disbursement is due this week</t>
  </si>
  <si>
    <t>Due 0n 23rd March</t>
  </si>
  <si>
    <t xml:space="preserve">Edenbridge: </t>
  </si>
  <si>
    <t>Complete form for AECF</t>
  </si>
  <si>
    <t xml:space="preserve">Savannah Hospital: </t>
  </si>
  <si>
    <t xml:space="preserve"> Review financials to assess whether it’s a good fit as our client</t>
  </si>
  <si>
    <t xml:space="preserve">Ravensus: </t>
  </si>
  <si>
    <t>- Provide responses to Anna’s Qs (BLAO)</t>
  </si>
  <si>
    <t xml:space="preserve">Sunset Villa:  </t>
  </si>
  <si>
    <t>- Duncan to share Ahmed’s contact (Kanini Haraka affiliate)</t>
  </si>
  <si>
    <t xml:space="preserve">Spiceworld: </t>
  </si>
  <si>
    <t>Add deal with on  the Live Deal Tracker</t>
  </si>
  <si>
    <t>Completd first draft, reviews ongoing</t>
  </si>
  <si>
    <t>Susan &amp; Irine- BioInvest has requested for a financial model, Susan to work on the FM. Organize physical meeting with Cygnum. Firm up meeting with AgDevco</t>
  </si>
  <si>
    <t>Financial model ongoing</t>
  </si>
  <si>
    <t xml:space="preserve">Advisory Work Tracker: </t>
  </si>
  <si>
    <t>Tz Deals</t>
  </si>
  <si>
    <t>Duncan to follow-up on the meetings we had. Also follow up on the meetings we missed and schedule virtual calls.</t>
  </si>
  <si>
    <t>Swift</t>
  </si>
  <si>
    <t>Cliff to visit Swift to finalize on requested information</t>
  </si>
  <si>
    <t>Rafode</t>
  </si>
  <si>
    <t>Evans to follow up on Rafode on defaulted</t>
  </si>
  <si>
    <t>E&amp;M Tech</t>
  </si>
  <si>
    <t xml:space="preserve">Duncan schedule a call with E&amp;M Tech investor is interested </t>
  </si>
  <si>
    <t xml:space="preserve">Umoja second disburse, follow up on 17th with rose – Duncan </t>
  </si>
  <si>
    <t>Aplite</t>
  </si>
  <si>
    <t>Do an NDA</t>
  </si>
  <si>
    <t>Mara Elephant</t>
  </si>
  <si>
    <t>seeking valuation  services</t>
  </si>
  <si>
    <t>ISM</t>
  </si>
  <si>
    <t>Grant application</t>
  </si>
  <si>
    <t>Umoja International</t>
  </si>
  <si>
    <t>Engagement Contract</t>
  </si>
  <si>
    <t>Put on hold since the client is insisting on 0.5% success fees</t>
  </si>
  <si>
    <t>Ecocan</t>
  </si>
  <si>
    <t>Work on an update. Do Noblestride linkedIn deal announcement. Do after the client announces</t>
  </si>
  <si>
    <t>Ongoing</t>
  </si>
  <si>
    <t>MD to advise</t>
  </si>
  <si>
    <t>Kuria</t>
  </si>
  <si>
    <t>Send cool catch deck</t>
  </si>
  <si>
    <t>Investor passed on the opportunity as it is not their field of expertise</t>
  </si>
  <si>
    <t>Von KWFT</t>
  </si>
  <si>
    <t>Send deck and financials</t>
  </si>
  <si>
    <t>Model Draft</t>
  </si>
  <si>
    <t>Kenneth</t>
  </si>
  <si>
    <t>Greenforest teaser</t>
  </si>
  <si>
    <t>Dhruv</t>
  </si>
  <si>
    <t>Review FY25 accounts</t>
  </si>
  <si>
    <t>Site Visit,Business plan,</t>
  </si>
  <si>
    <t>2 March - 6 March 2026</t>
  </si>
  <si>
    <t>Ravensus</t>
  </si>
  <si>
    <t xml:space="preserve"> Complete info on the live deal tracker</t>
  </si>
  <si>
    <t>DT Logistics</t>
  </si>
  <si>
    <t xml:space="preserve"> Complete info on the live deal tracker. Joel to merge financials</t>
  </si>
  <si>
    <t>Progressive credit</t>
  </si>
  <si>
    <t>ISM Africa</t>
  </si>
  <si>
    <t xml:space="preserve"> Make grant application </t>
  </si>
  <si>
    <t>Lubona</t>
  </si>
  <si>
    <t xml:space="preserve"> Send financial model to  investors (Norfund, etc)</t>
  </si>
  <si>
    <t>Spitha</t>
  </si>
  <si>
    <t xml:space="preserve"> Complete financial model and share with client for their comments  </t>
  </si>
  <si>
    <t>Pending</t>
  </si>
  <si>
    <t>Wonderpac</t>
  </si>
  <si>
    <t xml:space="preserve"> Joel to follow up with the investor to issue a letter of intent</t>
  </si>
  <si>
    <t>Kakam Sarl</t>
  </si>
  <si>
    <t xml:space="preserve"> Get account access and complete their application in their behalf (the deadline is 2nd March 2026)</t>
  </si>
  <si>
    <t>Ndivisi</t>
  </si>
  <si>
    <t xml:space="preserve"> Getting a lot of passes from investors due to the company’s loss. Update deck with the company's turnaround strategy </t>
  </si>
  <si>
    <t>Dr. Arunga</t>
  </si>
  <si>
    <t xml:space="preserve"> Send deal to the Christian based investor (Goodwell)</t>
  </si>
  <si>
    <t>Top Rich Motorcycles</t>
  </si>
  <si>
    <t xml:space="preserve"> Get 2025 accounts from the client (EADB requested for them)</t>
  </si>
  <si>
    <t>Reached out to Antony.</t>
  </si>
  <si>
    <t>FitCiti</t>
  </si>
  <si>
    <t xml:space="preserve"> organize follow up call with Eugene from Africa50</t>
  </si>
  <si>
    <t>Investor passed on Sealtowers and FitCiti</t>
  </si>
  <si>
    <t>Crown Healthcare</t>
  </si>
  <si>
    <t xml:space="preserve"> Follow up with client to pay NC’s invoice. Sheilla to follow up with the client on the CPs to unlock the 2nd tranche. Sheilla/Evans to follow up on the Nigerian deal</t>
  </si>
  <si>
    <t>Decca Medics</t>
  </si>
  <si>
    <t xml:space="preserve"> Update teaser with latest accounts and push investor engagements </t>
  </si>
  <si>
    <t>John Thuo Concept Note</t>
  </si>
  <si>
    <t xml:space="preserve"> Follow up to get feedback on the concept note. The client wants to give NC another assignment</t>
  </si>
  <si>
    <t>New deals</t>
  </si>
  <si>
    <t xml:space="preserve">  Imara and  Savannah to be added to the live deal tracker</t>
  </si>
  <si>
    <t>Victoria Finance</t>
  </si>
  <si>
    <t xml:space="preserve"> Expand investor list (Check investors who put money into Rafode). Reactivate discussions with AlphaMundi</t>
  </si>
  <si>
    <t xml:space="preserve"> Follow up to confirm if EQ finalized</t>
  </si>
  <si>
    <t>Access Healthcare</t>
  </si>
  <si>
    <t xml:space="preserve"> Work on the CPs to unlock 2nd disbursement</t>
  </si>
  <si>
    <t>KWFT</t>
  </si>
  <si>
    <t xml:space="preserve"> Evans to share discussions with Von Onyango on potential investors. They want to meet the client on Tue 4th</t>
  </si>
  <si>
    <t>Deals</t>
  </si>
  <si>
    <t xml:space="preserve">Sheilla &amp; Brenda to share some deals with Susan, Solomon, Ivy, and Irine (KG Millers, Premier Zambia)   </t>
  </si>
  <si>
    <t>Pearl Agro</t>
  </si>
  <si>
    <t xml:space="preserve"> Make grant application for AgriVentures. Update deck with 2025 a</t>
  </si>
  <si>
    <t>Brisk</t>
  </si>
  <si>
    <t xml:space="preserve"> Complete factsheet for the interested investor.</t>
  </si>
  <si>
    <t>Melechizedek</t>
  </si>
  <si>
    <t xml:space="preserve"> Follow up on client payment</t>
  </si>
  <si>
    <t>Steve Biko Strategy Assignment</t>
  </si>
  <si>
    <t xml:space="preserve"> Evans to follow up on the discussions</t>
  </si>
  <si>
    <t>Savannah Hopsital</t>
  </si>
  <si>
    <t xml:space="preserve"> Arrange to have an in person meeting with the CFO within the week</t>
  </si>
  <si>
    <t>MyFugo</t>
  </si>
  <si>
    <t xml:space="preserve"> Irine to follow up on the deal and add it to the deal tracker</t>
  </si>
  <si>
    <t xml:space="preserve"> Update NC engagement contract especially the retainer component to capture investor engagement. </t>
  </si>
  <si>
    <t>Redland Roses</t>
  </si>
  <si>
    <t xml:space="preserve"> The deal is from Adenia Capital and is trying to exit their stake. ACW is interested in a flower farm</t>
  </si>
  <si>
    <t>Client is yet to sign the contract. ACW passed on the deal.</t>
  </si>
  <si>
    <t>Mara conservancy</t>
  </si>
  <si>
    <t>EAVCA</t>
  </si>
  <si>
    <t>Pay for gala</t>
  </si>
  <si>
    <t>Fresh Kyenyanja</t>
  </si>
  <si>
    <t>Close the account</t>
  </si>
  <si>
    <t>Florence Yula</t>
  </si>
  <si>
    <t>Reach out on Family diet</t>
  </si>
  <si>
    <t xml:space="preserve">Volcano </t>
  </si>
  <si>
    <t>Meeting with Yusuf</t>
  </si>
  <si>
    <t>Send to Enabling Qapital</t>
  </si>
  <si>
    <t>Highland</t>
  </si>
  <si>
    <t>Set up meeting with shona</t>
  </si>
  <si>
    <t>Send to FCIA</t>
  </si>
  <si>
    <t>Branch</t>
  </si>
  <si>
    <t>Evans to follow up on Branch as a potential client introduced by George of Mcredit</t>
  </si>
  <si>
    <t>09 March -13 March  2026</t>
  </si>
  <si>
    <t>EFL</t>
  </si>
  <si>
    <t>Complete factsheet for BlueOrchard</t>
  </si>
  <si>
    <t>Monday Meeting</t>
  </si>
  <si>
    <t>Sent partially completed form (80%) to Blue Orchard and also the client for their input</t>
  </si>
  <si>
    <t>OYE</t>
  </si>
  <si>
    <t>Joel and Evans to get historical accounts</t>
  </si>
  <si>
    <t>Share deal with Kiva</t>
  </si>
  <si>
    <t xml:space="preserve">Share deal with investors who do trade financing </t>
  </si>
  <si>
    <t>Kuwekeza</t>
  </si>
  <si>
    <t>Organize an intro call</t>
  </si>
  <si>
    <t>MCB</t>
  </si>
  <si>
    <t>Send deal to Invest-in-Vision</t>
  </si>
  <si>
    <t>Sealtowers</t>
  </si>
  <si>
    <t>DM to follow up with Axian and other investors</t>
  </si>
  <si>
    <t>Cliff to follow up with GreenMax. Evans to send an email to Ventures Platform</t>
  </si>
  <si>
    <t>Clean up duplicate entry</t>
  </si>
  <si>
    <t>Komarock Mordern</t>
  </si>
  <si>
    <t>Evans to reach out to the CFO for updated financials</t>
  </si>
  <si>
    <t>The management team have promised us that the FY25 audited accounts will be ready last week of March.</t>
  </si>
  <si>
    <t>MetroConcepts</t>
  </si>
  <si>
    <t>Adenia are interested in a site visit. Firm up on the arragements and update VDR</t>
  </si>
  <si>
    <t>FTG</t>
  </si>
  <si>
    <t>Logistix Africa</t>
  </si>
  <si>
    <t xml:space="preserve">Wants us to do a Pitch Deck </t>
  </si>
  <si>
    <t xml:space="preserve">Client is yet to sign the contract </t>
  </si>
  <si>
    <t>Q1'2026 Review</t>
  </si>
  <si>
    <t>DM to share the excel with the team members</t>
  </si>
  <si>
    <t>Training</t>
  </si>
  <si>
    <t>Sheilla to organize a training session to take team through the Appraisal Form</t>
  </si>
  <si>
    <t>Xtenda</t>
  </si>
  <si>
    <t>Brian to follow up on the client to get data and firm up the engagement contract</t>
  </si>
  <si>
    <t>Fair Choice</t>
  </si>
  <si>
    <t>Irine to follow up on the client to get data and firm up the engagement contract</t>
  </si>
  <si>
    <t>Impact Hub</t>
  </si>
  <si>
    <t>Do a fee share agreement</t>
  </si>
  <si>
    <t>Branch MFI</t>
  </si>
  <si>
    <t>Firm up meeting on Wednesday at Noblestride Capital Boardroom</t>
  </si>
  <si>
    <t>GBRI Solutions (Eat Fresh)</t>
  </si>
  <si>
    <t>Conduct financial analysis, prepare teaser and firm up call with client</t>
  </si>
  <si>
    <t xml:space="preserve">Marble Capital </t>
  </si>
  <si>
    <t>Ivy to firm up meeting for Friday</t>
  </si>
  <si>
    <t>Amana Bank Tz</t>
  </si>
  <si>
    <t>Evans to follow up with Dennis for an engagement contract. Deal could be a good fit for Badea (Arab investor)</t>
  </si>
  <si>
    <t>Peoples Bank of Zanzibar</t>
  </si>
  <si>
    <t>Evans to follow up with client for an engagement contract. Deal could be a good fit for Badea (Arab investor)</t>
  </si>
  <si>
    <t>Verbal</t>
  </si>
  <si>
    <t xml:space="preserve">Idman </t>
  </si>
  <si>
    <t>Share deal with Badea</t>
  </si>
  <si>
    <t>Request for Badea contacts from Evans</t>
  </si>
  <si>
    <t>Sustainable Planet</t>
  </si>
  <si>
    <t>Review pitchdeck and take lead of the transaction</t>
  </si>
  <si>
    <t>WhatsApp</t>
  </si>
  <si>
    <t>Prepare NDA and engagement contract</t>
  </si>
  <si>
    <t>PBZ Bank</t>
  </si>
  <si>
    <t>Ken and Cliff to do an engagement contract</t>
  </si>
  <si>
    <t>Follow up on pending data</t>
  </si>
  <si>
    <t>Deyabo</t>
  </si>
  <si>
    <t>Client to sign contract</t>
  </si>
  <si>
    <t>Check with CFO on revised projections for the wider opportunity,2. We check with the client on valuation expectations. Phatisa can do both Debt and equity funding</t>
  </si>
  <si>
    <t>Mujuni</t>
  </si>
  <si>
    <t>Ken to block calendar</t>
  </si>
  <si>
    <t>Dennis Thuo</t>
  </si>
  <si>
    <t>Sheilla do a follow up and share latest info.</t>
  </si>
  <si>
    <t>Stan Chikakuda</t>
  </si>
  <si>
    <t>Ivy to block calendar</t>
  </si>
  <si>
    <t>Irine to have a look</t>
  </si>
  <si>
    <t>Unigroup</t>
  </si>
  <si>
    <t>Revise Invoice</t>
  </si>
  <si>
    <t>Share with client</t>
  </si>
  <si>
    <t>BRAMO TECH</t>
  </si>
  <si>
    <t>Send NDA</t>
  </si>
  <si>
    <t>Imara Mediplus</t>
  </si>
  <si>
    <t xml:space="preserve">Add deal to Live Deals Tracker. Gather data and get started on the analysis &amp; documentation
</t>
  </si>
  <si>
    <t>AfriCapital Deals</t>
  </si>
  <si>
    <t xml:space="preserve">Assign deal leads for:
1. Mbasira Food Industries
2. Wakulima Agri Food Company Ltd
3. Project Reina – Uganda Largest FMCG Distributor
4. Tanzanian Investment Bank
5.  KCG Aquatec Fish Farming Consultancy Co. Ltd
</t>
  </si>
  <si>
    <t>Other</t>
  </si>
  <si>
    <t>Dr. Arunga Eye Hospital</t>
  </si>
  <si>
    <t xml:space="preserve">Firm up meeting with Clinton Health Access Initiative (CHAI)
</t>
  </si>
  <si>
    <t>16 March -19 March  2026</t>
  </si>
  <si>
    <t>Spiceword</t>
  </si>
  <si>
    <t xml:space="preserve"> Complete form from Cygnum Capital</t>
  </si>
  <si>
    <t>Spiceworld</t>
  </si>
  <si>
    <t xml:space="preserve"> Update teaser with spiceworld description (from Good Grains)</t>
  </si>
  <si>
    <t>New Paleah</t>
  </si>
  <si>
    <t xml:space="preserve"> client is slow to provide data. Evans to assist with follow ups</t>
  </si>
  <si>
    <t>Oye</t>
  </si>
  <si>
    <t xml:space="preserve">  Follow up on data collection </t>
  </si>
  <si>
    <t>Kibinge</t>
  </si>
  <si>
    <t xml:space="preserve"> Follow up on data requests from investors</t>
  </si>
  <si>
    <t>Coolcacth</t>
  </si>
  <si>
    <t xml:space="preserve"> Share deal with renew capital</t>
  </si>
  <si>
    <t xml:space="preserve"> Update doc progress in the Live Deal tracker</t>
  </si>
  <si>
    <t xml:space="preserve"> Follow up on terms sheet from MCF</t>
  </si>
  <si>
    <t>Lakairo</t>
  </si>
  <si>
    <t xml:space="preserve"> Provide feedback to Qs from Tradeable </t>
  </si>
  <si>
    <t xml:space="preserve"> Firm up site visit with Adenia Capital</t>
  </si>
  <si>
    <t>Valley Hospital</t>
  </si>
  <si>
    <t xml:space="preserve"> Expand investor list</t>
  </si>
  <si>
    <t xml:space="preserve"> Firm up meeting with the client. And also complete the Financial analysis and the teaser</t>
  </si>
  <si>
    <t>Komarock mordern</t>
  </si>
  <si>
    <t xml:space="preserve"> Follow up on the data requested by investors with the client </t>
  </si>
  <si>
    <t>AKM Glitters</t>
  </si>
  <si>
    <t xml:space="preserve"> Share a revised engagement contract </t>
  </si>
  <si>
    <t>Apicalmed</t>
  </si>
  <si>
    <t xml:space="preserve"> follow up with client on the 3 offers that are on the table</t>
  </si>
  <si>
    <t>Client did not pass BIO's DD. 
AGF-</t>
  </si>
  <si>
    <t>Malipo</t>
  </si>
  <si>
    <t xml:space="preserve"> follow up with Bowmans on feedback from the investors the sent the deal to</t>
  </si>
  <si>
    <t>Classic Moulding</t>
  </si>
  <si>
    <t xml:space="preserve"> follow up with Peter of Blink Studio on signing of Letter of Intent</t>
  </si>
  <si>
    <t xml:space="preserve"> Complete grant  application ahead of the 30th March deadline </t>
  </si>
  <si>
    <t>Highchem</t>
  </si>
  <si>
    <t xml:space="preserve"> follow up with AfricInvest on the ongoing DD</t>
  </si>
  <si>
    <t>NWH</t>
  </si>
  <si>
    <t xml:space="preserve"> Prioritize the documentation </t>
  </si>
  <si>
    <t>AutoSprings</t>
  </si>
  <si>
    <t xml:space="preserve"> Follow up with client on the feedback on the Term sheet from Oxano Capital. Look at Talanton's TS to see if they mirrored it. Sheilla to firm up meeting with CEO</t>
  </si>
  <si>
    <t>Africa Inuka</t>
  </si>
  <si>
    <t xml:space="preserve"> follow up with Michael for data collection </t>
  </si>
  <si>
    <t>EldoTea</t>
  </si>
  <si>
    <t xml:space="preserve"> firm up meeting with Grounded VC (cannot postpone the meeting twice, that will be a red flag)</t>
  </si>
  <si>
    <t xml:space="preserve"> Complete pitch deck.</t>
  </si>
  <si>
    <t>Red Sea gateway terminals</t>
  </si>
  <si>
    <t xml:space="preserve"> share the proposal by EOD. The Financial model is due in 3 weeks.</t>
  </si>
  <si>
    <t>Bayport Tz</t>
  </si>
  <si>
    <t>Review AFS and determine whether they meet Noblestride's thresshhold</t>
  </si>
  <si>
    <t>Solomon O</t>
  </si>
  <si>
    <t>23 March -27 March  2026</t>
  </si>
  <si>
    <t>Step Up Tech (Vision Plus)</t>
  </si>
  <si>
    <t>Follow up on signing of engagement contract</t>
  </si>
  <si>
    <t>Email</t>
  </si>
  <si>
    <t>Conduct financial analysis &amp; prepare teaser</t>
  </si>
  <si>
    <t>SPICA Investment Management</t>
  </si>
  <si>
    <t>Share invoice for USD 1,500</t>
  </si>
  <si>
    <t>Missalignment on the scope of work and fees payable</t>
  </si>
  <si>
    <t>Allocate assignment on financial modelling and business plan preparation</t>
  </si>
  <si>
    <t>Lua Implementation</t>
  </si>
  <si>
    <t>Provide feedback on Lua's automation proposal</t>
  </si>
  <si>
    <t>Kijenge School Feeding Programme, Tz</t>
  </si>
  <si>
    <t>Provide feedback on whether Noblestride is progressing with the fundraise discussions (USD 1 mn to implement their contract)</t>
  </si>
  <si>
    <t>Mbasira and Chato Beverages, Tz</t>
  </si>
  <si>
    <t>Review the two teasers and determine whether they meet Noblestride's thereshhold</t>
  </si>
  <si>
    <t>Eco Brix</t>
  </si>
  <si>
    <t>Reach out to investors in the Iqo Brick investor folder</t>
  </si>
  <si>
    <t>Wakulima Foods</t>
  </si>
  <si>
    <t>Complete deal entry in the live deal tracker</t>
  </si>
  <si>
    <t>Mbasira Foods</t>
  </si>
  <si>
    <t>TEV Africa</t>
  </si>
  <si>
    <t>GBRI</t>
  </si>
  <si>
    <t>Reach out to investors in the Six Square investor folder</t>
  </si>
  <si>
    <t>Confirm whether Michael Musau of Alterfin is open to meet with MCB during his Dar visist</t>
  </si>
  <si>
    <t>Set up a working meeting on Wed at Tatu City. Invite Solomon and tag Joel for Wonderpack</t>
  </si>
  <si>
    <t>Progressive Credit</t>
  </si>
  <si>
    <t>Set up physical meeting at client's premise</t>
  </si>
  <si>
    <t>Sunset Villa</t>
  </si>
  <si>
    <t>Do a fee share agreement ...</t>
  </si>
  <si>
    <t>Sidian Bank</t>
  </si>
  <si>
    <t>Evans to meet with CEO Sidian to finalize on the contracting</t>
  </si>
  <si>
    <t>CoolCacth</t>
  </si>
  <si>
    <t>Send deal to Iungo Capital and Shona Capital</t>
  </si>
  <si>
    <t>Update teaser with the revised valuation expectation from the client</t>
  </si>
  <si>
    <t>Expand investor list</t>
  </si>
  <si>
    <t>SealTowers</t>
  </si>
  <si>
    <t>Update entry on the live deal tracker</t>
  </si>
  <si>
    <t>Fortune Credit</t>
  </si>
  <si>
    <t>Evans to reach out to the CEO (Janet Kuteli) for a fundraising mandate</t>
  </si>
  <si>
    <t>Respond on the fees and maintain that NC can do 1% fee</t>
  </si>
  <si>
    <t>Parties agreed to 0.75% given the quantum of funding needs</t>
  </si>
  <si>
    <t>Follow up on AGF, AfricInvest and Iungo offers</t>
  </si>
  <si>
    <t>Mbasira, Wakulima Foods, TEV Africa</t>
  </si>
  <si>
    <t>Gather data and prepare teaser</t>
  </si>
  <si>
    <t>Bramo Tech &amp; Step Up Tech</t>
  </si>
  <si>
    <t>TIB Tz</t>
  </si>
  <si>
    <t>Confirm if AfriCapital has a signed mandate. Gather data and prepare teaser</t>
  </si>
  <si>
    <t>Followed up, will seek a mandate upon securing term sheet</t>
  </si>
  <si>
    <t xml:space="preserve">Xtenda </t>
  </si>
  <si>
    <t>Follow up on fee share agreement, in order to access to financials and other data</t>
  </si>
  <si>
    <t>Communication with the Zambian contact Twaambo is ongoing</t>
  </si>
  <si>
    <t>Prepare financial model</t>
  </si>
  <si>
    <t>Done however client hasn't paid engagement fees</t>
  </si>
  <si>
    <t>So Pure</t>
  </si>
  <si>
    <t>Organize a call with Clement of Incoffin to understand what they need for the business plan</t>
  </si>
  <si>
    <t>Waridi Hotel</t>
  </si>
  <si>
    <t>Update financial model with 2024 audited acccounts</t>
  </si>
  <si>
    <t>Map FMCG Players</t>
  </si>
  <si>
    <t>Map the supermarket chains shared on email. Create an excel and also try to check who are the owners/key management members </t>
  </si>
  <si>
    <t>Case Hospital Ug</t>
  </si>
  <si>
    <t>Follow up with Case</t>
  </si>
  <si>
    <t>I followed up on email. Waiting for response</t>
  </si>
  <si>
    <t>30 March -2 April  2026</t>
  </si>
  <si>
    <t>Live Deal Tracker</t>
  </si>
  <si>
    <t xml:space="preserve">Include a comlum(s) to track partial disbursments and the conditions to be met
</t>
  </si>
  <si>
    <t>(1) Share full valuation report with James;  
(2) Update IM to 2025 audited + $3M scenarios
(3) Update teaser to significant minority–majority; remove 70%; 
(4) Prepare and send to James: $3M scenarios (10–50% cash-out), board protections, Follow up with Daniel on 3–5yr sales plan, exit options after they review the cashout scenarios</t>
  </si>
  <si>
    <t>7 April -10 April  2026</t>
  </si>
  <si>
    <t>The Fintech Company, Ug</t>
  </si>
  <si>
    <t>Review teaser shared by joel_mutabazi@yahoo.com to determine if the company is a good fit for Noblestride</t>
  </si>
  <si>
    <t>Project Tango_ MBO VDR</t>
  </si>
  <si>
    <t>Ivy to gather data about the client, upload to VDR and share access link with Vantage Capital</t>
  </si>
  <si>
    <t>Kashia</t>
  </si>
  <si>
    <t>Update valuation report with client's requests</t>
  </si>
  <si>
    <t>Check out  ACME Containers and see if the two companies can be merged (Adenia Partners transaction)</t>
  </si>
  <si>
    <t>Progressive Capital</t>
  </si>
  <si>
    <t>Share deal with Ironsharp (liaise with Brenda)</t>
  </si>
  <si>
    <t>Step Up SEZ</t>
  </si>
  <si>
    <t>Share deals with EBRD and SPE Capital, and also shortlist a few more investors</t>
  </si>
  <si>
    <t xml:space="preserve">The owner of Muthokinju is interested in the deal. </t>
  </si>
  <si>
    <t>Not started</t>
  </si>
  <si>
    <t>Reach out to ODF to see if the are open to having an escrow account with the client to have visibility on use and flow of cash</t>
  </si>
  <si>
    <t>Swift Credit</t>
  </si>
  <si>
    <t>Follow up with CPF  on the agreed disbursment of KES 250 million in tranches of KES 50 million</t>
  </si>
  <si>
    <t>Taimba</t>
  </si>
  <si>
    <t>Organize a joint meeting with Oxano on the valuation</t>
  </si>
  <si>
    <t>Tsavo Real Estate</t>
  </si>
  <si>
    <t>Follow up with client to get contract signed and get started on the valuation assignment</t>
  </si>
  <si>
    <t>The client has been unresponsive</t>
  </si>
  <si>
    <t>Tesla Medical Centre</t>
  </si>
  <si>
    <t>Follow up with client to get contract signed and get started on the advisory assignment</t>
  </si>
  <si>
    <t>Amethis</t>
  </si>
  <si>
    <t xml:space="preserve">Do a proposal to Frank Ndiyo to support Amethis acquire </t>
  </si>
  <si>
    <t>CPGT, Tanzania</t>
  </si>
  <si>
    <t>Review deal to determine if it's a good fit for Noblestride</t>
  </si>
  <si>
    <t>Pass. Revenuie below 1M USD (102 k USD -2024, 64 K 2025 June)
Looking to raise - 390,000 USD</t>
  </si>
  <si>
    <t>Jerika Coffee, Rwanda</t>
  </si>
  <si>
    <t>13 April -17 April  2026</t>
  </si>
  <si>
    <t>Update deal on the Live deal tracker. Conduct financial analysis, prepare teaser and shortlist investors</t>
  </si>
  <si>
    <t>Sizwe</t>
  </si>
  <si>
    <t>Fair choice</t>
  </si>
  <si>
    <t>Forest Foods</t>
  </si>
  <si>
    <t>Karibu Loo</t>
  </si>
  <si>
    <t>Send out teasers to investors and prepare financial model</t>
  </si>
  <si>
    <t>Bramo Tech</t>
  </si>
  <si>
    <t>Finalize teaser and shortlist investors</t>
  </si>
  <si>
    <t>TEV Group Zambia</t>
  </si>
  <si>
    <t>Gather data, conduct financial analysis, prepare teaser and shortlist investors</t>
  </si>
  <si>
    <t>Firm up meeting with Nedbank</t>
  </si>
  <si>
    <t>Balandi Kimeze</t>
  </si>
  <si>
    <t>Finalize teasers and send out to investors. Prepare financial model and IM</t>
  </si>
  <si>
    <t>Organize for a virtual meeting with the client on Wednesday the 15th April</t>
  </si>
  <si>
    <t>Soluti</t>
  </si>
  <si>
    <t>Update teaser and send out deal to investors</t>
  </si>
  <si>
    <t>Muhindi Mweusi</t>
  </si>
  <si>
    <t>Tip Point Capital</t>
  </si>
  <si>
    <t>Expand investor list to get more debt funding</t>
  </si>
  <si>
    <t>Focus on securing an offer from Talanton. Organize the a site visit/virtual call for the investor</t>
  </si>
  <si>
    <t>Follow up with the VCB team for feedback on WaterEquity and Enabling Qapital</t>
  </si>
  <si>
    <t>Brisk Credit</t>
  </si>
  <si>
    <t>Follow up with Ezra of Seaf for an updated termsheet</t>
  </si>
  <si>
    <t>Confirm the planned meeting with client</t>
  </si>
  <si>
    <t>Afrika Inuka</t>
  </si>
  <si>
    <t>Follow up with client for 2025 audited accounts and update pitchdeck</t>
  </si>
  <si>
    <t>Middle East Bank</t>
  </si>
  <si>
    <t>Update teaser  with equity ask and share deal with equity investors (do a valuation)</t>
  </si>
  <si>
    <t>Maisha Bank</t>
  </si>
  <si>
    <t>Follow up with client for signing of the mandate</t>
  </si>
  <si>
    <t>Aviation Valuation</t>
  </si>
  <si>
    <t>Winnie</t>
  </si>
  <si>
    <t>Get contact (email/phone) of Winnie from the KEPSA event. A potential investor for Classic Mouldings</t>
  </si>
  <si>
    <t>SIMA Funds</t>
  </si>
  <si>
    <t xml:space="preserve">Firm up meeting for Wednesday the 15th to discuss Victoria Finance Tz and EFL </t>
  </si>
  <si>
    <t>Eat Fresh</t>
  </si>
  <si>
    <t xml:space="preserve"> Arrange a joint introductory call between client and Talanton this week on either Wednesday from 2pm, Thursday (10am - 1pm) and Friday (10am - 2pm).</t>
  </si>
  <si>
    <t>U&amp;I MFI</t>
  </si>
  <si>
    <t>Send to U&amp;I bank CEO updated investor tracker and where we are with each investor</t>
  </si>
  <si>
    <t>Duncan to reach out to Andrew of Water Equity on revised term sheet</t>
  </si>
  <si>
    <t>Humphrey Watanga</t>
  </si>
  <si>
    <t>Share draft PPT concept deck with Evans on Friday</t>
  </si>
  <si>
    <t xml:space="preserve"> send to U&amp;I bank CEO updated investor tracker</t>
  </si>
  <si>
    <t>Platinum Hopsitals Ug</t>
  </si>
  <si>
    <t>Follow up on signing of engagement contract and latest data</t>
  </si>
  <si>
    <t>Request for latest data from the management and re-do the valuation in a one-pager</t>
  </si>
  <si>
    <t>Sciencelab Limited Kenya</t>
  </si>
  <si>
    <t>Organize an intro call with the client to understand their needs for Noblestride Services (Sell side advisory)</t>
  </si>
  <si>
    <t>KTDA</t>
  </si>
  <si>
    <t>Prepare a proposal to provide DD services for the acquisition of  FERTIPLANT EAST AFRICA LIMITED. Deadline was 7th April 2026</t>
  </si>
  <si>
    <t>20 April -24 April  2026</t>
  </si>
  <si>
    <t>DT Logistics &amp; DM's Deal</t>
  </si>
  <si>
    <t>Firm up meeting with Stoa</t>
  </si>
  <si>
    <t>Meeting scheduled for 28th April</t>
  </si>
  <si>
    <t>Send Accion's NDA with Sidian (Douglas) since theirs is not investor focused</t>
  </si>
  <si>
    <t>Send Sidian Bank to IFC (Jesse)</t>
  </si>
  <si>
    <t>Follow up with the client to sign Norfund's termsheet</t>
  </si>
  <si>
    <t>We are waiting for Norfund to share the final term sheet for Lubona's execution</t>
  </si>
  <si>
    <t>Focus efforts on Mirova (Martha) to provide a Termsheet</t>
  </si>
  <si>
    <t>Get updates from client on the status of the loan refinancing from their bank</t>
  </si>
  <si>
    <t>Valley Hospital &amp; Avenues</t>
  </si>
  <si>
    <t>Prepare engagement contracts for the targets</t>
  </si>
  <si>
    <t>Acorn Holdings</t>
  </si>
  <si>
    <t>Mention Acorns planed Club deal to Nana and Sam of IFD (formerly IFU)</t>
  </si>
  <si>
    <t>Nairobi River</t>
  </si>
  <si>
    <t xml:space="preserve">Follow up with KCB on feedback from their IC on Friday and forwad feedback to CEEC </t>
  </si>
  <si>
    <t>Easy Coach DD</t>
  </si>
  <si>
    <t>Organize a call with the client</t>
  </si>
  <si>
    <t>Ryantel Systems</t>
  </si>
  <si>
    <t>Follow up with client to get valuation assignment</t>
  </si>
  <si>
    <t>Meliboat DD</t>
  </si>
  <si>
    <t>Have Dr. Maxwel sign a mandate first. (Cliff and Ken- do 150k)</t>
  </si>
  <si>
    <t>Sai Raj Ltd- Valuation</t>
  </si>
  <si>
    <t>Follow up with the client to sign an NDA and request for historical data</t>
  </si>
  <si>
    <t>Follow up done. NDA nd Engagement Letter not signed yet.Client back on availability</t>
  </si>
  <si>
    <t>Chemicaland- Fundraising</t>
  </si>
  <si>
    <t>Updated NDA shared with success and retainer payable on term sheet presentation</t>
  </si>
  <si>
    <t>Meliboat Projections</t>
  </si>
  <si>
    <t>Put in PPT</t>
  </si>
  <si>
    <t>JOY MILLERS</t>
  </si>
  <si>
    <t>add on the tracker of potential companies Joy Millers Ltd the company behind Raha</t>
  </si>
  <si>
    <t>1. Bayer Foundation  persons</t>
  </si>
  <si>
    <t>Add on investor tracker</t>
  </si>
  <si>
    <t>2. UNCDF</t>
  </si>
  <si>
    <t>Symon</t>
  </si>
  <si>
    <t>Symon our NDA and list of initial data we require to evaluate the valuation assignment</t>
  </si>
  <si>
    <t>ICRA</t>
  </si>
  <si>
    <t>please plan to pay</t>
  </si>
  <si>
    <t>Kigwa</t>
  </si>
  <si>
    <t>do a high level data analysis for Kigwa Ridge School</t>
  </si>
  <si>
    <t>Audited Accounts to be shared</t>
  </si>
  <si>
    <t>Kisumu Specialist Hospital</t>
  </si>
  <si>
    <t>add Kisumu Specialist Hospital on the tracker they need projections</t>
  </si>
  <si>
    <t>Talanton</t>
  </si>
  <si>
    <t>write up on TZ to share with Cynthia of Talanton</t>
  </si>
  <si>
    <t>Enwealth</t>
  </si>
  <si>
    <t>evise the Enwealth Engagement contract and indicate that the success fee will be borne by the target company and not the Fund</t>
  </si>
  <si>
    <t>Lui Implementation</t>
  </si>
  <si>
    <t xml:space="preserve">Schedule a call with Hillary to review Lui's contract </t>
  </si>
  <si>
    <t>Joy Millers</t>
  </si>
  <si>
    <t>Get contacts for the potential client (Pipeline development)</t>
  </si>
  <si>
    <t>I've reached out to my contact but I'm yet to get a response</t>
  </si>
  <si>
    <t>*Norda Industries</t>
  </si>
  <si>
    <t>Space and Style Ltd</t>
  </si>
  <si>
    <t>Reached out to the assistant Naomi</t>
  </si>
  <si>
    <t>27 April -30 April  2026</t>
  </si>
  <si>
    <t>FairChoice</t>
  </si>
  <si>
    <t>Send MyCredit an NDA and share VDR access</t>
  </si>
  <si>
    <t>Get multiples for South African transactions</t>
  </si>
  <si>
    <t>Put together documentation and pitch material (valuation report) for the Platinum Credit's acquisition plan</t>
  </si>
  <si>
    <t xml:space="preserve">Progressive </t>
  </si>
  <si>
    <t>Send to MK Global</t>
  </si>
  <si>
    <t>Organize a call with the client to discuss Moringaway's TS</t>
  </si>
  <si>
    <t>Write to Moringway team to explore using the subsidized FX hedging arrangement with TCX</t>
  </si>
  <si>
    <t>Share with Asif of Phatisa the financial model on WhatsApp</t>
  </si>
  <si>
    <t>Boya</t>
  </si>
  <si>
    <t>Send deal to Britam Lab</t>
  </si>
  <si>
    <t>Balandi Kimeze &amp; Kibinge</t>
  </si>
  <si>
    <t>Uganda Investment Authority</t>
  </si>
  <si>
    <t>Write a letter of expression to support the companies in their portfolio</t>
  </si>
  <si>
    <t>Access Beyond</t>
  </si>
  <si>
    <t>Orgnaize a physical meeting with the client to check on them and understand the status od the business</t>
  </si>
  <si>
    <t>Spectrum Credit (Swift Credit)</t>
  </si>
  <si>
    <t>Follow up with CFP and the KCB (the custodian) to follow up on the remaining portion of the KES 50 million disbursement</t>
  </si>
  <si>
    <t>Pezesha</t>
  </si>
  <si>
    <t>Send to Best Seller</t>
  </si>
  <si>
    <t>CPF</t>
  </si>
  <si>
    <t>Send Fortune, Longitude and Marble Capital, and Edenbridge to CPF</t>
  </si>
  <si>
    <t>Share a revised engagement contract and request for 2025 numbers</t>
  </si>
  <si>
    <t>Follow up with the client for signing of the revised contract</t>
  </si>
  <si>
    <t>Kisumu Specialist</t>
  </si>
  <si>
    <t xml:space="preserve">Follow up on the signed contract </t>
  </si>
  <si>
    <t>Organize for a physical meeting with the CEO (Mbaabu) to sign the term sheet and get the pending data</t>
  </si>
  <si>
    <t>Ken</t>
  </si>
  <si>
    <t>add Foodex on the tracker for USD 2Mn</t>
  </si>
  <si>
    <t>4th -8th May  2026</t>
  </si>
  <si>
    <t>Douglas and Chege</t>
  </si>
  <si>
    <t>Brenda to do an email</t>
  </si>
  <si>
    <t>Fund set up</t>
  </si>
  <si>
    <t>Evans to follow up with Humphyrey</t>
  </si>
  <si>
    <t>Fortune</t>
  </si>
  <si>
    <t>Cliff to connect Susan</t>
  </si>
  <si>
    <t>Share  the term sheet and schedule a call with Dickson.</t>
  </si>
  <si>
    <t>11th May -15th May  2026</t>
  </si>
  <si>
    <t>Xodus Finance</t>
  </si>
  <si>
    <t>Arrange for a call with Jelani for potential fundraise (Introduced on email by Doxa)</t>
  </si>
  <si>
    <t>Jelani yet to confirm meeting slot</t>
  </si>
  <si>
    <t>Science Lab</t>
  </si>
  <si>
    <t>Return countersigned copy of the NDA and follow up on data &amp; engagement contract</t>
  </si>
  <si>
    <t>Mophones</t>
  </si>
  <si>
    <t>Follow up on the action items from the Thurday call</t>
  </si>
  <si>
    <t>PASS Leasing Tz</t>
  </si>
  <si>
    <t>Follow up on data and prepare teaser</t>
  </si>
  <si>
    <t>KRS</t>
  </si>
  <si>
    <t>Follow up on data from the client</t>
  </si>
  <si>
    <t>AIS Capital</t>
  </si>
  <si>
    <t>Firm up meeting with Leornad to discuss the land sale opportunity by Madison Insurance</t>
  </si>
  <si>
    <t>Sumuni Credit</t>
  </si>
  <si>
    <t>Prepare an NDA and send to Stephen Marufu on WhatsApp +255 762 283 424</t>
  </si>
  <si>
    <t xml:space="preserve">Kisumu Specialist Hospital </t>
  </si>
  <si>
    <t>Share first draft of financial model by EOD 11th May 2026</t>
  </si>
  <si>
    <t>Recommendation letters</t>
  </si>
  <si>
    <t>Cliff and Solomon to get atleast 5</t>
  </si>
  <si>
    <t>Irine</t>
  </si>
  <si>
    <t>Noblestride Teams</t>
  </si>
  <si>
    <t>Susan,Brian and Irine to do research</t>
  </si>
  <si>
    <t>CBK Pensions- Jane Nzau</t>
  </si>
  <si>
    <t>Evans and Duncan to share list to share with CBK pensions</t>
  </si>
  <si>
    <t>Pivotech Ltd</t>
  </si>
  <si>
    <t>Assess the financials to confirm if it is a good fit for Noblestride</t>
  </si>
  <si>
    <t xml:space="preserve">Conduct a Due Dilligence on the company. (Send deal to Shona Capital and Iungo Capital) </t>
  </si>
  <si>
    <t>y get info on the kes 250mn unallocated Capital on Branch.</t>
  </si>
  <si>
    <t>ACEP senegal</t>
  </si>
  <si>
    <t>Khetias supermarket</t>
  </si>
  <si>
    <t>Reach out to Manswowabe</t>
  </si>
  <si>
    <t>Eat fresh</t>
  </si>
  <si>
    <t>Susan to reach out on site visit</t>
  </si>
  <si>
    <t xml:space="preserve">Zendawa </t>
  </si>
  <si>
    <t>Arrange for an intro call between Sihafya and the management</t>
  </si>
  <si>
    <t>Client open for a call in mid June</t>
  </si>
  <si>
    <t>18th May -22nd May  2026</t>
  </si>
  <si>
    <t>Amel Finance</t>
  </si>
  <si>
    <t xml:space="preserve">Review data to determine whether the company is a good fit for Noblestride </t>
  </si>
  <si>
    <t>Foodex</t>
  </si>
  <si>
    <t>Conduct financial analysis, prepare teaser and arrange intro call with client</t>
  </si>
  <si>
    <t>Follow up with the consultant to push through with the intro</t>
  </si>
  <si>
    <t>BSFI Tz</t>
  </si>
  <si>
    <t>Follow up on NDA and data collection</t>
  </si>
  <si>
    <t>Send impact report to Talanton</t>
  </si>
  <si>
    <t>Firm up meeting with DOB Equity</t>
  </si>
  <si>
    <t>Follow up on the final term sheet from Norfund and fill in the KYC</t>
  </si>
  <si>
    <t>MEB, VCB</t>
  </si>
  <si>
    <t>Follow up with Lefteris Ngugi on Kohtla's EoIs.</t>
  </si>
  <si>
    <t>Introduce Guy Eddy to Crown Healthcare and Sphinx Pharmaceuticals.</t>
  </si>
  <si>
    <t>Engagment Contracts Tracker</t>
  </si>
  <si>
    <t>Update tracker to have complete records</t>
  </si>
  <si>
    <t>Central Storage</t>
  </si>
  <si>
    <t xml:space="preserve">- Addition of the deal to the Live Deal Tracker
- Financial analysis
- Teaser preparation
- Kick off meeting with the client
- Potential investor shortlist
- VDR setup
</t>
  </si>
  <si>
    <t>25th May -29th May  2026</t>
  </si>
  <si>
    <t>Apollo Tours</t>
  </si>
  <si>
    <r>
      <rPr>
        <sz val="10"/>
        <color rgb="FF000000"/>
        <rFont val="Californian FB"/>
        <family val="1"/>
      </rPr>
      <t xml:space="preserve">- Addition of the deal to the Live Deal Tracker
- Financial analysis
- Teaser preparation
- </t>
    </r>
    <r>
      <rPr>
        <b/>
        <sz val="10"/>
        <color rgb="FF000000"/>
        <rFont val="Californian FB"/>
        <family val="1"/>
      </rPr>
      <t xml:space="preserve">Valuation Report
</t>
    </r>
    <r>
      <rPr>
        <sz val="10"/>
        <color rgb="FF000000"/>
        <rFont val="Californian FB"/>
        <family val="1"/>
      </rPr>
      <t xml:space="preserve">- Kick off meeting with the client
- Potential investor shortlist
- VDR setup
</t>
    </r>
  </si>
  <si>
    <t>Deal Lead</t>
  </si>
  <si>
    <t>Send to Triodos</t>
  </si>
  <si>
    <t xml:space="preserve">AECF </t>
  </si>
  <si>
    <t>following up on their NDA to Progressive</t>
  </si>
  <si>
    <t xml:space="preserve"> Adenia team</t>
  </si>
  <si>
    <t xml:space="preserve">reach out to Adenia team on Redland roses </t>
  </si>
  <si>
    <t xml:space="preserve"> MyCredit and Admaius.</t>
  </si>
  <si>
    <t xml:space="preserve"> follow up on next steps for MyCredit and Admaius.</t>
  </si>
  <si>
    <t>Eldo Tea -</t>
  </si>
  <si>
    <t xml:space="preserve"> Judith Ngonyo is asking about what happened to Eldo Tea - please update her tomorrow - give caroline one more call</t>
  </si>
  <si>
    <t>share their current covenants, lender fees plus relevant withholding tax and dividend policy</t>
  </si>
  <si>
    <t>Mophones.</t>
  </si>
  <si>
    <t>Nabo Capital are keen on Mophones. Check mail</t>
  </si>
  <si>
    <t>Inform team we go slow on Phatisa and AfricInvest. Let's focus on Norfund and Bio invest</t>
  </si>
  <si>
    <t xml:space="preserve">CIB Bank </t>
  </si>
  <si>
    <t>on the call with CIB Bank ask if they can issue SBLC</t>
  </si>
  <si>
    <t xml:space="preserve"> Isaac DT Logistics</t>
  </si>
  <si>
    <t>please check with Isaac DT Logistics if he can get an SBLC</t>
  </si>
  <si>
    <t xml:space="preserve"> update Josh on the progress</t>
  </si>
  <si>
    <t>Update client on Progress</t>
  </si>
  <si>
    <t>I already reached out to the client and discussed the terms oif the termsheet shared by Sayuni. He mentioned he will have to discuss with KWAL first to align since the termsheet is pegged on the contract that the client ahs with KWAL.</t>
  </si>
  <si>
    <t>Hold until Gladwell reaches out</t>
  </si>
  <si>
    <t>Got dividend policy on Friday. 22nd May 2026. Waiting for the rest of the information</t>
  </si>
  <si>
    <t>Put on hold as we await a clear guidance due to demise of Job, Spitha founder</t>
  </si>
  <si>
    <t>Blue orchard</t>
  </si>
  <si>
    <t>Call Njeri Ng'ang'a</t>
  </si>
  <si>
    <t>Progressive</t>
  </si>
  <si>
    <t>Go to progressive to collect the NDA</t>
  </si>
  <si>
    <t>Savannah Hospital</t>
  </si>
  <si>
    <t xml:space="preserve">Request the client to send their valuation report to C-care </t>
  </si>
  <si>
    <t>Access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</si>
</sst>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_(* #,##0_);_(* \(#,##0\);_(* &quot;-&quot;??_);_(@_)"/>
  </numFmts>
  <fonts count="18" x14ac:knownFonts="1">
    <font>
      <sz val="11"/>
      <color theme="1"/>
      <name val="Aptos Narrow"/>
      <family val="2"/>
      <scheme val="minor"/>
    </font>
    <font>
      <b/>
      <sz val="11"/>
      <color theme="0"/>
      <name val="Aptos Narrow"/>
      <family val="2"/>
      <scheme val="minor"/>
    </font>
    <font>
      <sz val="11"/>
      <color theme="1"/>
      <name val="Californian FB"/>
      <family val="1"/>
    </font>
    <font>
      <sz val="11"/>
      <color theme="0"/>
      <name val="Californian FB"/>
      <family val="1"/>
    </font>
    <font>
      <b/>
      <sz val="11"/>
      <color theme="1"/>
      <name val="Californian FB"/>
      <family val="1"/>
    </font>
    <font>
      <sz val="10"/>
      <color theme="1"/>
      <name val="Californian FB"/>
      <family val="1"/>
    </font>
    <font>
      <b/>
      <sz val="10"/>
      <color theme="1"/>
      <name val="Californian FB"/>
      <family val="1"/>
    </font>
    <font>
      <sz val="10"/>
      <color theme="0"/>
      <name val="Californian FB"/>
      <family val="1"/>
    </font>
    <font>
      <vertAlign val="superscript"/>
      <sz val="10"/>
      <color theme="1"/>
      <name val="Californian FB"/>
      <family val="1"/>
    </font>
    <font>
      <sz val="10"/>
      <color rgb="FF000000"/>
      <name val="Californian FB"/>
      <family val="1"/>
    </font>
    <font>
      <sz val="11"/>
      <color theme="1"/>
      <name val="Aptos Narrow"/>
      <family val="2"/>
      <scheme val="minor"/>
    </font>
    <font>
      <b/>
      <sz val="9"/>
      <color theme="0"/>
      <name val="Californian FB"/>
      <family val="1"/>
    </font>
    <font>
      <sz val="9"/>
      <color theme="1"/>
      <name val="Californian FB"/>
      <family val="1"/>
    </font>
    <font>
      <b/>
      <sz val="10"/>
      <color theme="0"/>
      <name val="Californian FB"/>
      <family val="1"/>
    </font>
    <font>
      <i/>
      <sz val="10"/>
      <color theme="1"/>
      <name val="Californian FB"/>
      <family val="1"/>
    </font>
    <font>
      <b/>
      <sz val="10"/>
      <color rgb="FFFF0000"/>
      <name val="Californian FB"/>
      <family val="1"/>
    </font>
    <font>
      <sz val="10"/>
      <color rgb="FF000000"/>
      <name val="Californian FB"/>
      <family val="1"/>
    </font>
    <font>
      <b/>
      <sz val="10"/>
      <color rgb="FF000000"/>
      <name val="Californian FB"/>
      <family val="1"/>
    </font>
  </fonts>
  <fills count="5">
    <fill>
      <patternFill patternType="none"/>
    </fill>
    <fill>
      <patternFill patternType="gray125"/>
    </fill>
    <fill>
      <patternFill patternType="solid">
        <fgColor rgb="FF002060"/>
        <bgColor indexed="64"/>
      </patternFill>
    </fill>
    <fill>
      <patternFill patternType="solid">
        <fgColor rgb="FFFFC000"/>
        <bgColor indexed="64"/>
      </patternFill>
    </fill>
    <fill>
      <patternFill patternType="solid">
        <fgColor theme="0" tint="-0.14999847407452621"/>
        <bgColor indexed="64"/>
      </patternFill>
    </fill>
  </fills>
  <borders count="19">
    <border>
      <left/>
      <right/>
      <top/>
      <bottom/>
      <diagonal/>
    </border>
    <border>
      <left/>
      <right/>
      <top style="thin">
        <color indexed="64"/>
      </top>
      <bottom style="thin">
        <color indexed="64"/>
      </bottom>
      <diagonal/>
    </border>
    <border>
      <left style="mediumDashed">
        <color indexed="64"/>
      </left>
      <right/>
      <top/>
      <bottom/>
      <diagonal/>
    </border>
    <border>
      <left style="thin">
        <color rgb="FF000000"/>
      </left>
      <right style="thin">
        <color indexed="64"/>
      </right>
      <top style="thin">
        <color rgb="FF000000"/>
      </top>
      <bottom/>
      <diagonal/>
    </border>
    <border>
      <left/>
      <right/>
      <top style="thin">
        <color rgb="FF000000"/>
      </top>
      <bottom style="medium">
        <color indexed="64"/>
      </bottom>
      <diagonal/>
    </border>
    <border>
      <left style="mediumDashed">
        <color indexed="64"/>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thin">
        <color indexed="64"/>
      </right>
      <top/>
      <bottom/>
      <diagonal/>
    </border>
    <border>
      <left/>
      <right style="thin">
        <color rgb="FF000000"/>
      </right>
      <top/>
      <bottom/>
      <diagonal/>
    </border>
    <border>
      <left style="thin">
        <color rgb="FF000000"/>
      </left>
      <right style="thin">
        <color indexed="64"/>
      </right>
      <top/>
      <bottom style="thin">
        <color rgb="FF000000"/>
      </bottom>
      <diagonal/>
    </border>
    <border>
      <left/>
      <right/>
      <top/>
      <bottom style="thin">
        <color rgb="FF000000"/>
      </bottom>
      <diagonal/>
    </border>
    <border>
      <left style="mediumDashed">
        <color indexed="64"/>
      </left>
      <right/>
      <top/>
      <bottom style="thin">
        <color rgb="FF000000"/>
      </bottom>
      <diagonal/>
    </border>
    <border>
      <left/>
      <right style="thin">
        <color rgb="FF000000"/>
      </right>
      <top/>
      <bottom style="thin">
        <color rgb="FF000000"/>
      </bottom>
      <diagonal/>
    </border>
    <border>
      <left style="dashed">
        <color rgb="FF000000"/>
      </left>
      <right style="thin">
        <color indexed="64"/>
      </right>
      <top style="dashed">
        <color rgb="FF000000"/>
      </top>
      <bottom/>
      <diagonal/>
    </border>
    <border>
      <left/>
      <right/>
      <top style="dashed">
        <color rgb="FF000000"/>
      </top>
      <bottom/>
      <diagonal/>
    </border>
    <border>
      <left/>
      <right style="dashed">
        <color rgb="FF000000"/>
      </right>
      <top style="dashed">
        <color rgb="FF000000"/>
      </top>
      <bottom/>
      <diagonal/>
    </border>
    <border>
      <left style="dashed">
        <color rgb="FF000000"/>
      </left>
      <right style="thin">
        <color indexed="64"/>
      </right>
      <top/>
      <bottom style="dashed">
        <color rgb="FF000000"/>
      </bottom>
      <diagonal/>
    </border>
    <border>
      <left/>
      <right/>
      <top/>
      <bottom style="dashed">
        <color rgb="FF000000"/>
      </bottom>
      <diagonal/>
    </border>
    <border>
      <left/>
      <right style="dashed">
        <color rgb="FF000000"/>
      </right>
      <top/>
      <bottom style="dashed">
        <color rgb="FF000000"/>
      </bottom>
      <diagonal/>
    </border>
  </borders>
  <cellStyleXfs count="2">
    <xf numFmtId="0" fontId="0" fillId="0" borderId="0"/>
    <xf numFmtId="9" fontId="10" fillId="0" borderId="0" applyFont="0" applyFill="0" applyBorder="0" applyAlignment="0" applyProtection="0"/>
  </cellStyleXfs>
  <cellXfs count="72">
    <xf numFmtId="0" fontId="0" fillId="0" borderId="0" xfId="0"/>
    <xf numFmtId="0" fontId="1" fillId="2" borderId="0" xfId="0" applyFont="1" applyFill="1" applyAlignment="1">
      <alignment horizontal="left" vertical="top" wrapText="1"/>
    </xf>
    <xf numFmtId="0" fontId="3" fillId="3" borderId="0" xfId="0" applyFont="1" applyFill="1" applyAlignment="1">
      <alignment horizontal="left" vertical="top" wrapText="1"/>
    </xf>
    <xf numFmtId="0" fontId="1" fillId="2" borderId="0" xfId="0" applyFont="1" applyFill="1" applyAlignment="1">
      <alignment vertical="top"/>
    </xf>
    <xf numFmtId="0" fontId="0" fillId="2" borderId="0" xfId="0" applyFill="1" applyAlignment="1">
      <alignment vertical="top"/>
    </xf>
    <xf numFmtId="0" fontId="3" fillId="3" borderId="0" xfId="0" applyFont="1" applyFill="1" applyAlignment="1">
      <alignment vertical="top"/>
    </xf>
    <xf numFmtId="0" fontId="2" fillId="3" borderId="0" xfId="0" applyFont="1" applyFill="1" applyAlignment="1">
      <alignment vertical="top"/>
    </xf>
    <xf numFmtId="0" fontId="5" fillId="0" borderId="0" xfId="0" applyFont="1" applyAlignment="1">
      <alignment vertical="top"/>
    </xf>
    <xf numFmtId="0" fontId="5" fillId="0" borderId="0" xfId="0" applyFont="1" applyAlignment="1">
      <alignment horizontal="left" vertical="top" wrapText="1"/>
    </xf>
    <xf numFmtId="0" fontId="5" fillId="0" borderId="0" xfId="0" applyFont="1" applyAlignment="1">
      <alignment horizontal="left" vertical="top" wrapText="1" indent="6"/>
    </xf>
    <xf numFmtId="0" fontId="6" fillId="3" borderId="0" xfId="0" applyFont="1" applyFill="1" applyAlignment="1">
      <alignment vertical="top"/>
    </xf>
    <xf numFmtId="0" fontId="7" fillId="3" borderId="0" xfId="0" applyFont="1" applyFill="1" applyAlignment="1">
      <alignment horizontal="left" vertical="top" wrapText="1"/>
    </xf>
    <xf numFmtId="0" fontId="7" fillId="3" borderId="0" xfId="0" applyFont="1" applyFill="1" applyAlignment="1">
      <alignment vertical="top"/>
    </xf>
    <xf numFmtId="0" fontId="5" fillId="3" borderId="0" xfId="0" applyFont="1" applyFill="1" applyAlignment="1">
      <alignment vertical="top"/>
    </xf>
    <xf numFmtId="0" fontId="6" fillId="3" borderId="0" xfId="0" applyFont="1" applyFill="1" applyAlignment="1">
      <alignment horizontal="left" vertical="top" wrapText="1"/>
    </xf>
    <xf numFmtId="0" fontId="7" fillId="0" borderId="0" xfId="0" applyFont="1" applyAlignment="1">
      <alignment vertical="top"/>
    </xf>
    <xf numFmtId="0" fontId="7" fillId="0" borderId="0" xfId="0" applyFont="1" applyAlignment="1">
      <alignment horizontal="left" vertical="top" wrapText="1"/>
    </xf>
    <xf numFmtId="0" fontId="9" fillId="0" borderId="0" xfId="0" applyFont="1" applyAlignment="1">
      <alignment horizontal="left" vertical="top" wrapText="1"/>
    </xf>
    <xf numFmtId="0" fontId="1" fillId="2" borderId="0" xfId="0" applyFont="1" applyFill="1" applyAlignment="1">
      <alignment vertical="top" wrapText="1"/>
    </xf>
    <xf numFmtId="0" fontId="4" fillId="3" borderId="0" xfId="0" applyFont="1" applyFill="1" applyAlignment="1">
      <alignment vertical="top" wrapText="1"/>
    </xf>
    <xf numFmtId="0" fontId="5" fillId="0" borderId="0" xfId="0" applyFont="1" applyAlignment="1">
      <alignment vertical="top" wrapText="1"/>
    </xf>
    <xf numFmtId="0" fontId="6" fillId="3" borderId="0" xfId="0" applyFont="1" applyFill="1" applyAlignment="1">
      <alignment vertical="top" wrapText="1"/>
    </xf>
    <xf numFmtId="0" fontId="7" fillId="0" borderId="0" xfId="0" applyFont="1" applyAlignment="1">
      <alignment vertical="top" wrapText="1"/>
    </xf>
    <xf numFmtId="0" fontId="11" fillId="2" borderId="1" xfId="0" applyFont="1" applyFill="1" applyBorder="1" applyAlignment="1">
      <alignment horizontal="left" vertical="center"/>
    </xf>
    <xf numFmtId="0" fontId="12" fillId="0" borderId="0" xfId="0" applyFont="1"/>
    <xf numFmtId="0" fontId="3" fillId="3" borderId="0" xfId="0" applyFont="1" applyFill="1" applyAlignment="1">
      <alignment vertical="top" wrapText="1"/>
    </xf>
    <xf numFmtId="0" fontId="7" fillId="3" borderId="0" xfId="0" applyFont="1" applyFill="1" applyAlignment="1">
      <alignment vertical="top" wrapText="1"/>
    </xf>
    <xf numFmtId="0" fontId="5" fillId="0" borderId="0" xfId="0" applyFont="1" applyAlignment="1">
      <alignment vertical="top" wrapText="1" indent="6"/>
    </xf>
    <xf numFmtId="0" fontId="0" fillId="0" borderId="0" xfId="0" applyAlignment="1">
      <alignment vertical="center"/>
    </xf>
    <xf numFmtId="0" fontId="0" fillId="0" borderId="0" xfId="0" applyAlignment="1">
      <alignment horizontal="right" vertical="center"/>
    </xf>
    <xf numFmtId="0" fontId="13" fillId="2" borderId="3" xfId="0" applyFont="1" applyFill="1" applyBorder="1" applyAlignment="1">
      <alignment vertical="center"/>
    </xf>
    <xf numFmtId="0" fontId="13" fillId="2" borderId="4" xfId="0" applyFont="1" applyFill="1" applyBorder="1" applyAlignment="1">
      <alignment horizontal="right" vertical="center"/>
    </xf>
    <xf numFmtId="0" fontId="13" fillId="2" borderId="5" xfId="0" applyFont="1" applyFill="1" applyBorder="1" applyAlignment="1">
      <alignment horizontal="right" vertical="center"/>
    </xf>
    <xf numFmtId="0" fontId="13" fillId="2" borderId="6" xfId="0" applyFont="1" applyFill="1" applyBorder="1" applyAlignment="1">
      <alignment horizontal="right" vertical="center"/>
    </xf>
    <xf numFmtId="0" fontId="14" fillId="0" borderId="7" xfId="0" applyFont="1" applyBorder="1" applyAlignment="1">
      <alignment vertical="center"/>
    </xf>
    <xf numFmtId="165" fontId="14" fillId="0" borderId="0" xfId="0" applyNumberFormat="1" applyFont="1" applyAlignment="1">
      <alignment horizontal="right" vertical="center"/>
    </xf>
    <xf numFmtId="165" fontId="14" fillId="0" borderId="2" xfId="0" applyNumberFormat="1" applyFont="1" applyBorder="1" applyAlignment="1">
      <alignment horizontal="right" vertical="center"/>
    </xf>
    <xf numFmtId="0" fontId="14" fillId="0" borderId="8" xfId="0" applyFont="1" applyBorder="1" applyAlignment="1">
      <alignment horizontal="right" vertical="center"/>
    </xf>
    <xf numFmtId="0" fontId="14" fillId="0" borderId="9" xfId="0" applyFont="1" applyBorder="1" applyAlignment="1">
      <alignment vertical="center"/>
    </xf>
    <xf numFmtId="165" fontId="14" fillId="0" borderId="10" xfId="0" applyNumberFormat="1" applyFont="1" applyBorder="1" applyAlignment="1">
      <alignment horizontal="right" vertical="center"/>
    </xf>
    <xf numFmtId="165" fontId="14" fillId="0" borderId="11" xfId="0" applyNumberFormat="1" applyFont="1" applyBorder="1" applyAlignment="1">
      <alignment horizontal="right" vertical="center"/>
    </xf>
    <xf numFmtId="0" fontId="14" fillId="0" borderId="12" xfId="0" applyFont="1" applyBorder="1" applyAlignment="1">
      <alignment horizontal="right" vertical="center"/>
    </xf>
    <xf numFmtId="0" fontId="6" fillId="0" borderId="7" xfId="0" applyFont="1" applyBorder="1" applyAlignment="1">
      <alignment vertical="center"/>
    </xf>
    <xf numFmtId="0" fontId="6" fillId="0" borderId="0" xfId="0" applyFont="1" applyAlignment="1">
      <alignment horizontal="right" vertical="center"/>
    </xf>
    <xf numFmtId="0" fontId="6" fillId="0" borderId="2" xfId="0" applyFont="1" applyBorder="1" applyAlignment="1">
      <alignment horizontal="right" vertical="center"/>
    </xf>
    <xf numFmtId="0" fontId="6" fillId="0" borderId="8" xfId="0" applyFont="1" applyBorder="1" applyAlignment="1">
      <alignment horizontal="right" vertical="center"/>
    </xf>
    <xf numFmtId="0" fontId="5" fillId="0" borderId="7" xfId="0" applyFont="1" applyBorder="1" applyAlignment="1">
      <alignment horizontal="left" vertical="center" indent="1"/>
    </xf>
    <xf numFmtId="165" fontId="5" fillId="0" borderId="0" xfId="0" applyNumberFormat="1" applyFont="1" applyAlignment="1">
      <alignment horizontal="right" vertical="center"/>
    </xf>
    <xf numFmtId="165" fontId="5" fillId="0" borderId="2" xfId="0" applyNumberFormat="1" applyFont="1" applyBorder="1" applyAlignment="1">
      <alignment horizontal="right" vertical="center"/>
    </xf>
    <xf numFmtId="9" fontId="5" fillId="0" borderId="8" xfId="1" applyFont="1" applyBorder="1" applyAlignment="1">
      <alignment horizontal="right" vertical="center"/>
    </xf>
    <xf numFmtId="165" fontId="6" fillId="0" borderId="0" xfId="0" applyNumberFormat="1" applyFont="1" applyAlignment="1">
      <alignment horizontal="right" vertical="center"/>
    </xf>
    <xf numFmtId="165" fontId="6" fillId="0" borderId="2" xfId="0" applyNumberFormat="1" applyFont="1" applyBorder="1" applyAlignment="1">
      <alignment horizontal="right" vertical="center"/>
    </xf>
    <xf numFmtId="9" fontId="6" fillId="0" borderId="8" xfId="1" applyFont="1" applyBorder="1" applyAlignment="1">
      <alignment horizontal="right" vertical="center"/>
    </xf>
    <xf numFmtId="0" fontId="6" fillId="4" borderId="7" xfId="0" applyFont="1" applyFill="1" applyBorder="1" applyAlignment="1">
      <alignment horizontal="left" vertical="center" indent="1"/>
    </xf>
    <xf numFmtId="165" fontId="6" fillId="4" borderId="0" xfId="0" applyNumberFormat="1" applyFont="1" applyFill="1" applyAlignment="1">
      <alignment horizontal="right" vertical="center"/>
    </xf>
    <xf numFmtId="165" fontId="6" fillId="4" borderId="2" xfId="0" applyNumberFormat="1" applyFont="1" applyFill="1" applyBorder="1" applyAlignment="1">
      <alignment horizontal="right" vertical="center"/>
    </xf>
    <xf numFmtId="9" fontId="6" fillId="4" borderId="8" xfId="1" applyFont="1" applyFill="1" applyBorder="1" applyAlignment="1">
      <alignment horizontal="right" vertical="center"/>
    </xf>
    <xf numFmtId="164" fontId="1" fillId="2" borderId="0" xfId="0" applyNumberFormat="1" applyFont="1" applyFill="1" applyAlignment="1">
      <alignment horizontal="center" vertical="top"/>
    </xf>
    <xf numFmtId="164" fontId="3" fillId="3" borderId="0" xfId="0" applyNumberFormat="1" applyFont="1" applyFill="1" applyAlignment="1">
      <alignment horizontal="center" vertical="top"/>
    </xf>
    <xf numFmtId="164" fontId="5" fillId="0" borderId="0" xfId="0" applyNumberFormat="1" applyFont="1" applyAlignment="1">
      <alignment horizontal="center" vertical="top"/>
    </xf>
    <xf numFmtId="164" fontId="7" fillId="3" borderId="0" xfId="0" applyNumberFormat="1" applyFont="1" applyFill="1" applyAlignment="1">
      <alignment horizontal="center" vertical="top"/>
    </xf>
    <xf numFmtId="164" fontId="6" fillId="3" borderId="0" xfId="0" applyNumberFormat="1" applyFont="1" applyFill="1" applyAlignment="1">
      <alignment horizontal="center" vertical="top"/>
    </xf>
    <xf numFmtId="164" fontId="7" fillId="0" borderId="0" xfId="0" applyNumberFormat="1" applyFont="1" applyAlignment="1">
      <alignment horizontal="center" vertical="top"/>
    </xf>
    <xf numFmtId="165" fontId="15" fillId="0" borderId="14" xfId="0" applyNumberFormat="1" applyFont="1" applyBorder="1" applyAlignment="1">
      <alignment horizontal="right" vertical="center"/>
    </xf>
    <xf numFmtId="165" fontId="15" fillId="0" borderId="15" xfId="0" applyNumberFormat="1" applyFont="1" applyBorder="1" applyAlignment="1">
      <alignment horizontal="right" vertical="center"/>
    </xf>
    <xf numFmtId="165" fontId="15" fillId="0" borderId="17" xfId="0" applyNumberFormat="1" applyFont="1" applyBorder="1" applyAlignment="1">
      <alignment horizontal="right" vertical="center"/>
    </xf>
    <xf numFmtId="165" fontId="15" fillId="0" borderId="18" xfId="0" applyNumberFormat="1" applyFont="1" applyBorder="1" applyAlignment="1">
      <alignment horizontal="right" vertical="center"/>
    </xf>
    <xf numFmtId="0" fontId="15" fillId="0" borderId="13" xfId="0" applyFont="1" applyBorder="1" applyAlignment="1">
      <alignment horizontal="left" vertical="center" indent="1"/>
    </xf>
    <xf numFmtId="0" fontId="15" fillId="0" borderId="16" xfId="0" applyFont="1" applyBorder="1" applyAlignment="1">
      <alignment horizontal="left" vertical="center" indent="1"/>
    </xf>
    <xf numFmtId="0" fontId="6" fillId="3" borderId="0" xfId="0" applyFont="1" applyFill="1" applyAlignment="1">
      <alignment vertical="center" wrapText="1"/>
    </xf>
    <xf numFmtId="0" fontId="5" fillId="0" borderId="0" xfId="0" quotePrefix="1" applyFont="1" applyAlignment="1">
      <alignment horizontal="left" vertical="top" wrapText="1"/>
    </xf>
    <xf numFmtId="0" fontId="16" fillId="0" borderId="0" xfId="0" quotePrefix="1" applyFont="1" applyAlignment="1">
      <alignment horizontal="left" vertical="top" wrapText="1"/>
    </xf>
  </cellXfs>
  <cellStyles count="2">
    <cellStyle name="Normal" xfId="0" builtinId="0"/>
    <cellStyle name="Percent" xfId="1" builtinId="5"/>
  </cellStyles>
  <dxfs count="6">
    <dxf>
      <font>
        <color theme="1"/>
      </font>
      <fill>
        <patternFill patternType="solid">
          <bgColor rgb="FFC00000"/>
        </patternFill>
      </fill>
    </dxf>
    <dxf>
      <font>
        <color theme="1"/>
      </font>
      <fill>
        <patternFill patternType="solid">
          <bgColor theme="9" tint="0.39997558519241921"/>
        </patternFill>
      </fill>
    </dxf>
    <dxf>
      <font>
        <color theme="1"/>
      </font>
      <fill>
        <patternFill patternType="solid">
          <bgColor rgb="FFFF0000"/>
        </patternFill>
      </fill>
    </dxf>
    <dxf>
      <font>
        <color theme="1"/>
      </font>
      <fill>
        <patternFill patternType="solid">
          <bgColor theme="8" tint="0.59999389629810485"/>
        </patternFill>
      </fill>
    </dxf>
    <dxf>
      <font>
        <color theme="1"/>
      </font>
      <fill>
        <patternFill patternType="solid">
          <bgColor theme="2"/>
        </patternFill>
      </fill>
    </dxf>
    <dxf>
      <font>
        <color rgb="FFFF0000"/>
      </font>
    </dxf>
  </dxfs>
  <tableStyles count="0" defaultTableStyle="TableStyleMedium2" defaultPivotStyle="PivotStyleLight16"/>
  <colors>
    <mruColors>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095C6-FB25-45D2-A90A-1F6B300505B5}">
  <dimension ref="B2:R11"/>
  <sheetViews>
    <sheetView showGridLines="0" topLeftCell="B2" workbookViewId="0">
      <pane xSplit="1" ySplit="1" topLeftCell="C3" activePane="bottomRight" state="frozen"/>
      <selection pane="topRight"/>
      <selection pane="bottomLeft"/>
      <selection pane="bottomRight" activeCell="F14" sqref="F14"/>
    </sheetView>
  </sheetViews>
  <sheetFormatPr defaultColWidth="9.1796875" defaultRowHeight="14.5" x14ac:dyDescent="0.35"/>
  <cols>
    <col min="1" max="1" width="9.1796875" style="28"/>
    <col min="2" max="2" width="12.81640625" style="28" customWidth="1"/>
    <col min="3" max="14" width="9.7265625" style="29" customWidth="1"/>
    <col min="15" max="15" width="5.7265625" style="29" customWidth="1"/>
    <col min="16" max="16" width="2.7265625" style="29" customWidth="1"/>
    <col min="17" max="18" width="9.1796875" style="29"/>
    <col min="19" max="16384" width="9.1796875" style="28"/>
  </cols>
  <sheetData>
    <row r="2" spans="2:18" x14ac:dyDescent="0.35">
      <c r="B2" s="30" t="s">
        <v>0</v>
      </c>
      <c r="C2" s="31" t="str">
        <f>Lists!$D$2</f>
        <v>Brenda C</v>
      </c>
      <c r="D2" s="31" t="str">
        <f>Lists!$D$3</f>
        <v>Brian B</v>
      </c>
      <c r="E2" s="31" t="str">
        <f>Lists!$D$4</f>
        <v>Cliff N</v>
      </c>
      <c r="F2" s="31" t="str">
        <f>Lists!$D$6</f>
        <v>Evans W</v>
      </c>
      <c r="G2" s="31" t="str">
        <f>Lists!$D$7</f>
        <v>Irine M</v>
      </c>
      <c r="H2" s="31" t="str">
        <f>Lists!$D$9</f>
        <v>Joel M</v>
      </c>
      <c r="I2" s="31" t="str">
        <f>Lists!$D$10</f>
        <v>Ken W</v>
      </c>
      <c r="J2" s="31" t="str">
        <f>Lists!$D$11</f>
        <v>Sheilla W</v>
      </c>
      <c r="K2" s="31" t="str">
        <f>Lists!$D$5</f>
        <v>Duncan M</v>
      </c>
      <c r="L2" s="31" t="str">
        <f>Lists!$D$8</f>
        <v>Ivy N</v>
      </c>
      <c r="M2" s="31" t="str">
        <f>Lists!$D$13</f>
        <v>Susan B</v>
      </c>
      <c r="N2" s="31" t="str">
        <f>Lists!$D$12</f>
        <v>Solomon O</v>
      </c>
      <c r="O2" s="31"/>
      <c r="P2" s="32"/>
      <c r="Q2" s="31" t="s">
        <v>1</v>
      </c>
      <c r="R2" s="33" t="s">
        <v>2</v>
      </c>
    </row>
    <row r="3" spans="2:18" x14ac:dyDescent="0.35">
      <c r="B3" s="42"/>
      <c r="C3" s="43"/>
      <c r="D3" s="43"/>
      <c r="E3" s="43"/>
      <c r="F3" s="43"/>
      <c r="G3" s="43"/>
      <c r="H3" s="43"/>
      <c r="I3" s="43"/>
      <c r="J3" s="43"/>
      <c r="K3" s="43"/>
      <c r="L3" s="43"/>
      <c r="M3" s="43"/>
      <c r="N3" s="43"/>
      <c r="O3" s="43"/>
      <c r="P3" s="44"/>
      <c r="Q3" s="43"/>
      <c r="R3" s="45"/>
    </row>
    <row r="4" spans="2:18" x14ac:dyDescent="0.35">
      <c r="B4" s="46" t="str">
        <f>Lists!$B2</f>
        <v>Done</v>
      </c>
      <c r="C4" s="47">
        <f>COUNTIFS('Task Tracker'!$F:$F,Dashboard!C$2,'Task Tracker'!$D:$D,Dashboard!$B4)</f>
        <v>31</v>
      </c>
      <c r="D4" s="47">
        <f>COUNTIFS('Task Tracker'!$F:$F,Dashboard!D$2,'Task Tracker'!$D:$D,Dashboard!$B4)</f>
        <v>28</v>
      </c>
      <c r="E4" s="47">
        <f>COUNTIFS('Task Tracker'!$F:$F,Dashboard!E$2,'Task Tracker'!$D:$D,Dashboard!$B4)</f>
        <v>26</v>
      </c>
      <c r="F4" s="47">
        <f>COUNTIFS('Task Tracker'!$F:$F,Dashboard!F$2,'Task Tracker'!$D:$D,Dashboard!$B4)</f>
        <v>12</v>
      </c>
      <c r="G4" s="47">
        <f>COUNTIFS('Task Tracker'!$F:$F,Dashboard!G$2,'Task Tracker'!$D:$D,Dashboard!$B4)</f>
        <v>26</v>
      </c>
      <c r="H4" s="47">
        <f>COUNTIFS('Task Tracker'!$F:$F,Dashboard!H$2,'Task Tracker'!$D:$D,Dashboard!$B4)</f>
        <v>24</v>
      </c>
      <c r="I4" s="47">
        <f>COUNTIFS('Task Tracker'!$F:$F,Dashboard!I$2,'Task Tracker'!$D:$D,Dashboard!$B4)</f>
        <v>32</v>
      </c>
      <c r="J4" s="47">
        <f>COUNTIFS('Task Tracker'!$F:$F,Dashboard!J$2,'Task Tracker'!$D:$D,Dashboard!$B4)</f>
        <v>26</v>
      </c>
      <c r="K4" s="47">
        <f>COUNTIFS('Task Tracker'!$F:$F,Dashboard!K$2,'Task Tracker'!$D:$D,Dashboard!$B4)</f>
        <v>56</v>
      </c>
      <c r="L4" s="47">
        <f>COUNTIFS('Task Tracker'!$F:$F,Dashboard!L$2,'Task Tracker'!$D:$D,Dashboard!$B4)</f>
        <v>25</v>
      </c>
      <c r="M4" s="47">
        <f>COUNTIFS('Task Tracker'!$F:$F,Dashboard!M$2,'Task Tracker'!$D:$D,Dashboard!$B4)</f>
        <v>28</v>
      </c>
      <c r="N4" s="47">
        <f>COUNTIFS('Task Tracker'!$F:$F,Dashboard!N$2,'Task Tracker'!$D:$D,Dashboard!$B4)</f>
        <v>11</v>
      </c>
      <c r="O4" s="47">
        <f>COUNTIFS('Task Tracker'!$F:$F,Dashboard!O$2,'Task Tracker'!$D:$D,Dashboard!$B4)</f>
        <v>0</v>
      </c>
      <c r="P4" s="48"/>
      <c r="Q4" s="47">
        <f>SUM(C4:P4)</f>
        <v>325</v>
      </c>
      <c r="R4" s="49">
        <f>Q4/$Q$9</f>
        <v>0.84635416666666663</v>
      </c>
    </row>
    <row r="5" spans="2:18" x14ac:dyDescent="0.35">
      <c r="B5" s="46" t="str">
        <f>Lists!$B3</f>
        <v>Ongoing</v>
      </c>
      <c r="C5" s="47">
        <f>COUNTIFS('Task Tracker'!$F:$F,Dashboard!C$2,'Task Tracker'!$D:$D,Dashboard!$B5)</f>
        <v>7</v>
      </c>
      <c r="D5" s="47">
        <f>COUNTIFS('Task Tracker'!$F:$F,Dashboard!D$2,'Task Tracker'!$D:$D,Dashboard!$B5)</f>
        <v>3</v>
      </c>
      <c r="E5" s="47">
        <f>COUNTIFS('Task Tracker'!$F:$F,Dashboard!E$2,'Task Tracker'!$D:$D,Dashboard!$B5)</f>
        <v>6</v>
      </c>
      <c r="F5" s="47">
        <f>COUNTIFS('Task Tracker'!$F:$F,Dashboard!F$2,'Task Tracker'!$D:$D,Dashboard!$B5)</f>
        <v>2</v>
      </c>
      <c r="G5" s="47">
        <f>COUNTIFS('Task Tracker'!$F:$F,Dashboard!G$2,'Task Tracker'!$D:$D,Dashboard!$B5)</f>
        <v>2</v>
      </c>
      <c r="H5" s="47">
        <f>COUNTIFS('Task Tracker'!$F:$F,Dashboard!H$2,'Task Tracker'!$D:$D,Dashboard!$B5)</f>
        <v>3</v>
      </c>
      <c r="I5" s="47">
        <f>COUNTIFS('Task Tracker'!$F:$F,Dashboard!I$2,'Task Tracker'!$D:$D,Dashboard!$B5)</f>
        <v>1</v>
      </c>
      <c r="J5" s="47">
        <f>COUNTIFS('Task Tracker'!$F:$F,Dashboard!J$2,'Task Tracker'!$D:$D,Dashboard!$B5)</f>
        <v>2</v>
      </c>
      <c r="K5" s="47">
        <f>COUNTIFS('Task Tracker'!$F:$F,Dashboard!K$2,'Task Tracker'!$D:$D,Dashboard!$B5)</f>
        <v>2</v>
      </c>
      <c r="L5" s="47">
        <f>COUNTIFS('Task Tracker'!$F:$F,Dashboard!L$2,'Task Tracker'!$D:$D,Dashboard!$B5)</f>
        <v>5</v>
      </c>
      <c r="M5" s="47">
        <f>COUNTIFS('Task Tracker'!$F:$F,Dashboard!M$2,'Task Tracker'!$D:$D,Dashboard!$B5)</f>
        <v>4</v>
      </c>
      <c r="N5" s="47">
        <f>COUNTIFS('Task Tracker'!$F:$F,Dashboard!N$2,'Task Tracker'!$D:$D,Dashboard!$B5)</f>
        <v>1</v>
      </c>
      <c r="O5" s="47">
        <f>COUNTIFS('Task Tracker'!$F:$F,Dashboard!O$2,'Task Tracker'!$D:$D,Dashboard!$B5)</f>
        <v>0</v>
      </c>
      <c r="P5" s="48"/>
      <c r="Q5" s="47">
        <f>SUM(C5:P5)</f>
        <v>38</v>
      </c>
      <c r="R5" s="49">
        <f t="shared" ref="R5:R8" si="0">Q5/$Q$9</f>
        <v>9.8958333333333329E-2</v>
      </c>
    </row>
    <row r="6" spans="2:18" x14ac:dyDescent="0.35">
      <c r="B6" s="67" t="str">
        <f>Lists!$B4</f>
        <v>Pending</v>
      </c>
      <c r="C6" s="63">
        <f>COUNTIFS('Task Tracker'!$F:$F,Dashboard!C$2,'Task Tracker'!$D:$D,Dashboard!$B6)</f>
        <v>0</v>
      </c>
      <c r="D6" s="63">
        <f>COUNTIFS('Task Tracker'!$F:$F,Dashboard!D$2,'Task Tracker'!$D:$D,Dashboard!$B6)</f>
        <v>0</v>
      </c>
      <c r="E6" s="63">
        <f>COUNTIFS('Task Tracker'!$F:$F,Dashboard!E$2,'Task Tracker'!$D:$D,Dashboard!$B6)</f>
        <v>0</v>
      </c>
      <c r="F6" s="63">
        <f>COUNTIFS('Task Tracker'!$F:$F,Dashboard!F$2,'Task Tracker'!$D:$D,Dashboard!$B6)</f>
        <v>1</v>
      </c>
      <c r="G6" s="63">
        <f>COUNTIFS('Task Tracker'!$F:$F,Dashboard!G$2,'Task Tracker'!$D:$D,Dashboard!$B6)</f>
        <v>0</v>
      </c>
      <c r="H6" s="63">
        <f>COUNTIFS('Task Tracker'!$F:$F,Dashboard!H$2,'Task Tracker'!$D:$D,Dashboard!$B6)</f>
        <v>0</v>
      </c>
      <c r="I6" s="63">
        <f>COUNTIFS('Task Tracker'!$F:$F,Dashboard!I$2,'Task Tracker'!$D:$D,Dashboard!$B6)</f>
        <v>0</v>
      </c>
      <c r="J6" s="63">
        <f>COUNTIFS('Task Tracker'!$F:$F,Dashboard!J$2,'Task Tracker'!$D:$D,Dashboard!$B6)</f>
        <v>0</v>
      </c>
      <c r="K6" s="63">
        <f>COUNTIFS('Task Tracker'!$F:$F,Dashboard!K$2,'Task Tracker'!$D:$D,Dashboard!$B6)</f>
        <v>0</v>
      </c>
      <c r="L6" s="63">
        <f>COUNTIFS('Task Tracker'!$F:$F,Dashboard!L$2,'Task Tracker'!$D:$D,Dashboard!$B6)</f>
        <v>0</v>
      </c>
      <c r="M6" s="63">
        <f>COUNTIFS('Task Tracker'!$F:$F,Dashboard!M$2,'Task Tracker'!$D:$D,Dashboard!$B6)</f>
        <v>1</v>
      </c>
      <c r="N6" s="64">
        <f>COUNTIFS('Task Tracker'!$F:$F,Dashboard!N$2,'Task Tracker'!$D:$D,Dashboard!$B6)</f>
        <v>1</v>
      </c>
      <c r="O6" s="50">
        <f>COUNTIFS('Task Tracker'!$F:$F,Dashboard!O$2,'Task Tracker'!$D:$D,Dashboard!$B6)</f>
        <v>0</v>
      </c>
      <c r="P6" s="51"/>
      <c r="Q6" s="50">
        <f>SUM(C6:P6)</f>
        <v>3</v>
      </c>
      <c r="R6" s="52">
        <f t="shared" si="0"/>
        <v>7.8125E-3</v>
      </c>
    </row>
    <row r="7" spans="2:18" x14ac:dyDescent="0.35">
      <c r="B7" s="68" t="str">
        <f>Lists!$B5</f>
        <v>Not started</v>
      </c>
      <c r="C7" s="65">
        <f>COUNTIFS('Task Tracker'!$F:$F,Dashboard!C$2,'Task Tracker'!$D:$D,Dashboard!$B7)</f>
        <v>1</v>
      </c>
      <c r="D7" s="65">
        <f>COUNTIFS('Task Tracker'!$F:$F,Dashboard!D$2,'Task Tracker'!$D:$D,Dashboard!$B7)</f>
        <v>1</v>
      </c>
      <c r="E7" s="65">
        <f>COUNTIFS('Task Tracker'!$F:$F,Dashboard!E$2,'Task Tracker'!$D:$D,Dashboard!$B7)</f>
        <v>1</v>
      </c>
      <c r="F7" s="65">
        <f>COUNTIFS('Task Tracker'!$F:$F,Dashboard!F$2,'Task Tracker'!$D:$D,Dashboard!$B7)</f>
        <v>1</v>
      </c>
      <c r="G7" s="65">
        <f>COUNTIFS('Task Tracker'!$F:$F,Dashboard!G$2,'Task Tracker'!$D:$D,Dashboard!$B7)</f>
        <v>0</v>
      </c>
      <c r="H7" s="65">
        <f>COUNTIFS('Task Tracker'!$F:$F,Dashboard!H$2,'Task Tracker'!$D:$D,Dashboard!$B7)</f>
        <v>2</v>
      </c>
      <c r="I7" s="65">
        <f>COUNTIFS('Task Tracker'!$F:$F,Dashboard!I$2,'Task Tracker'!$D:$D,Dashboard!$B7)</f>
        <v>0</v>
      </c>
      <c r="J7" s="65">
        <f>COUNTIFS('Task Tracker'!$F:$F,Dashboard!J$2,'Task Tracker'!$D:$D,Dashboard!$B7)</f>
        <v>0</v>
      </c>
      <c r="K7" s="65">
        <f>COUNTIFS('Task Tracker'!$F:$F,Dashboard!K$2,'Task Tracker'!$D:$D,Dashboard!$B7)</f>
        <v>0</v>
      </c>
      <c r="L7" s="65">
        <f>COUNTIFS('Task Tracker'!$F:$F,Dashboard!L$2,'Task Tracker'!$D:$D,Dashboard!$B7)</f>
        <v>0</v>
      </c>
      <c r="M7" s="65">
        <f>COUNTIFS('Task Tracker'!$F:$F,Dashboard!M$2,'Task Tracker'!$D:$D,Dashboard!$B7)</f>
        <v>0</v>
      </c>
      <c r="N7" s="66">
        <f>COUNTIFS('Task Tracker'!$F:$F,Dashboard!N$2,'Task Tracker'!$D:$D,Dashboard!$B7)</f>
        <v>0</v>
      </c>
      <c r="O7" s="50">
        <f>COUNTIFS('Task Tracker'!$F:$F,Dashboard!O$2,'Task Tracker'!$D:$D,Dashboard!$B7)</f>
        <v>0</v>
      </c>
      <c r="P7" s="51"/>
      <c r="Q7" s="50">
        <f>SUM(C7:P7)</f>
        <v>6</v>
      </c>
      <c r="R7" s="52">
        <f t="shared" si="0"/>
        <v>1.5625E-2</v>
      </c>
    </row>
    <row r="8" spans="2:18" x14ac:dyDescent="0.35">
      <c r="B8" s="46" t="str">
        <f>Lists!$B6</f>
        <v>Dropped</v>
      </c>
      <c r="C8" s="47">
        <f>COUNTIFS('Task Tracker'!$F:$F,Dashboard!C$2,'Task Tracker'!$D:$D,Dashboard!$B8)</f>
        <v>4</v>
      </c>
      <c r="D8" s="47">
        <f>COUNTIFS('Task Tracker'!$F:$F,Dashboard!D$2,'Task Tracker'!$D:$D,Dashboard!$B8)</f>
        <v>0</v>
      </c>
      <c r="E8" s="47">
        <f>COUNTIFS('Task Tracker'!$F:$F,Dashboard!E$2,'Task Tracker'!$D:$D,Dashboard!$B8)</f>
        <v>0</v>
      </c>
      <c r="F8" s="47">
        <f>COUNTIFS('Task Tracker'!$F:$F,Dashboard!F$2,'Task Tracker'!$D:$D,Dashboard!$B8)</f>
        <v>4</v>
      </c>
      <c r="G8" s="47">
        <f>COUNTIFS('Task Tracker'!$F:$F,Dashboard!G$2,'Task Tracker'!$D:$D,Dashboard!$B8)</f>
        <v>0</v>
      </c>
      <c r="H8" s="47">
        <f>COUNTIFS('Task Tracker'!$F:$F,Dashboard!H$2,'Task Tracker'!$D:$D,Dashboard!$B8)</f>
        <v>0</v>
      </c>
      <c r="I8" s="47">
        <f>COUNTIFS('Task Tracker'!$F:$F,Dashboard!I$2,'Task Tracker'!$D:$D,Dashboard!$B8)</f>
        <v>1</v>
      </c>
      <c r="J8" s="47">
        <f>COUNTIFS('Task Tracker'!$F:$F,Dashboard!J$2,'Task Tracker'!$D:$D,Dashboard!$B8)</f>
        <v>0</v>
      </c>
      <c r="K8" s="47">
        <f>COUNTIFS('Task Tracker'!$F:$F,Dashboard!K$2,'Task Tracker'!$D:$D,Dashboard!$B8)</f>
        <v>2</v>
      </c>
      <c r="L8" s="47">
        <f>COUNTIFS('Task Tracker'!$F:$F,Dashboard!L$2,'Task Tracker'!$D:$D,Dashboard!$B8)</f>
        <v>1</v>
      </c>
      <c r="M8" s="47">
        <f>COUNTIFS('Task Tracker'!$F:$F,Dashboard!M$2,'Task Tracker'!$D:$D,Dashboard!$B8)</f>
        <v>0</v>
      </c>
      <c r="N8" s="47">
        <f>COUNTIFS('Task Tracker'!$F:$F,Dashboard!N$2,'Task Tracker'!$D:$D,Dashboard!$B8)</f>
        <v>0</v>
      </c>
      <c r="O8" s="47">
        <f>COUNTIFS('Task Tracker'!$F:$F,Dashboard!O$2,'Task Tracker'!$D:$D,Dashboard!$B8)</f>
        <v>0</v>
      </c>
      <c r="P8" s="48"/>
      <c r="Q8" s="47">
        <f>SUM(C8:P8)</f>
        <v>12</v>
      </c>
      <c r="R8" s="49">
        <f t="shared" si="0"/>
        <v>3.125E-2</v>
      </c>
    </row>
    <row r="9" spans="2:18" x14ac:dyDescent="0.35">
      <c r="B9" s="53" t="s">
        <v>3</v>
      </c>
      <c r="C9" s="54">
        <f>SUM(C4:C8)</f>
        <v>43</v>
      </c>
      <c r="D9" s="54">
        <f>SUM(D4:D8)</f>
        <v>32</v>
      </c>
      <c r="E9" s="54">
        <f t="shared" ref="E9:N9" si="1">SUM(E4:E8)</f>
        <v>33</v>
      </c>
      <c r="F9" s="54">
        <f t="shared" si="1"/>
        <v>20</v>
      </c>
      <c r="G9" s="54">
        <f t="shared" si="1"/>
        <v>28</v>
      </c>
      <c r="H9" s="54">
        <f t="shared" si="1"/>
        <v>29</v>
      </c>
      <c r="I9" s="54">
        <f t="shared" si="1"/>
        <v>34</v>
      </c>
      <c r="J9" s="54">
        <f t="shared" si="1"/>
        <v>28</v>
      </c>
      <c r="K9" s="54">
        <f t="shared" si="1"/>
        <v>60</v>
      </c>
      <c r="L9" s="54">
        <f t="shared" si="1"/>
        <v>31</v>
      </c>
      <c r="M9" s="54">
        <f t="shared" si="1"/>
        <v>33</v>
      </c>
      <c r="N9" s="54">
        <f t="shared" si="1"/>
        <v>13</v>
      </c>
      <c r="O9" s="54">
        <f>SUM(O4:O8)</f>
        <v>0</v>
      </c>
      <c r="P9" s="55"/>
      <c r="Q9" s="54">
        <f>SUM(Q4:Q8)</f>
        <v>384</v>
      </c>
      <c r="R9" s="56">
        <f>SUM(R4:R8)</f>
        <v>1</v>
      </c>
    </row>
    <row r="10" spans="2:18" hidden="1" x14ac:dyDescent="0.35">
      <c r="B10" s="34" t="s">
        <v>4</v>
      </c>
      <c r="C10" s="35">
        <f>COUNTIF('Task Tracker'!$F:$F,Dashboard!C$2)</f>
        <v>43</v>
      </c>
      <c r="D10" s="35">
        <f>COUNTIF('Task Tracker'!$F:$F,Dashboard!D$2)</f>
        <v>32</v>
      </c>
      <c r="E10" s="35">
        <f>COUNTIF('Task Tracker'!$F:$F,Dashboard!E$2)</f>
        <v>33</v>
      </c>
      <c r="F10" s="35">
        <f>COUNTIF('Task Tracker'!$F:$F,Dashboard!F$2)</f>
        <v>20</v>
      </c>
      <c r="G10" s="35">
        <f>COUNTIF('Task Tracker'!$F:$F,Dashboard!G$2)</f>
        <v>28</v>
      </c>
      <c r="H10" s="35">
        <f>COUNTIF('Task Tracker'!$F:$F,Dashboard!H$2)</f>
        <v>29</v>
      </c>
      <c r="I10" s="35">
        <f>COUNTIF('Task Tracker'!$F:$F,Dashboard!I$2)</f>
        <v>34</v>
      </c>
      <c r="J10" s="35">
        <f>COUNTIF('Task Tracker'!$F:$F,Dashboard!J$2)</f>
        <v>28</v>
      </c>
      <c r="K10" s="35">
        <f>COUNTIF('Task Tracker'!$F:$F,Dashboard!K$2)</f>
        <v>60</v>
      </c>
      <c r="L10" s="35">
        <f>COUNTIF('Task Tracker'!$F:$F,Dashboard!L$2)</f>
        <v>31</v>
      </c>
      <c r="M10" s="35">
        <f>COUNTIF('Task Tracker'!$F:$F,Dashboard!M$2)</f>
        <v>33</v>
      </c>
      <c r="N10" s="35">
        <f>COUNTIF('Task Tracker'!$F:$F,Dashboard!N$2)</f>
        <v>13</v>
      </c>
      <c r="O10" s="35">
        <f>COUNTIF('Task Tracker'!$F:$F,Dashboard!O$2)</f>
        <v>0</v>
      </c>
      <c r="P10" s="36"/>
      <c r="Q10" s="47">
        <f>SUM(C10:P10)</f>
        <v>384</v>
      </c>
      <c r="R10" s="37"/>
    </row>
    <row r="11" spans="2:18" x14ac:dyDescent="0.35">
      <c r="B11" s="38" t="s">
        <v>5</v>
      </c>
      <c r="C11" s="39">
        <f t="shared" ref="C11" si="2">C9-C10</f>
        <v>0</v>
      </c>
      <c r="D11" s="39">
        <f t="shared" ref="D11:O11" si="3">D9-D10</f>
        <v>0</v>
      </c>
      <c r="E11" s="39">
        <f t="shared" si="3"/>
        <v>0</v>
      </c>
      <c r="F11" s="39">
        <f t="shared" si="3"/>
        <v>0</v>
      </c>
      <c r="G11" s="39">
        <f t="shared" si="3"/>
        <v>0</v>
      </c>
      <c r="H11" s="39">
        <f t="shared" si="3"/>
        <v>0</v>
      </c>
      <c r="I11" s="39">
        <f t="shared" si="3"/>
        <v>0</v>
      </c>
      <c r="J11" s="39">
        <f t="shared" si="3"/>
        <v>0</v>
      </c>
      <c r="K11" s="39">
        <f t="shared" si="3"/>
        <v>0</v>
      </c>
      <c r="L11" s="39">
        <f t="shared" si="3"/>
        <v>0</v>
      </c>
      <c r="M11" s="39">
        <f t="shared" si="3"/>
        <v>0</v>
      </c>
      <c r="N11" s="39">
        <f t="shared" si="3"/>
        <v>0</v>
      </c>
      <c r="O11" s="39">
        <f t="shared" si="3"/>
        <v>0</v>
      </c>
      <c r="P11" s="40"/>
      <c r="Q11" s="39">
        <f>Q9-Q10</f>
        <v>0</v>
      </c>
      <c r="R11" s="41"/>
    </row>
  </sheetData>
  <conditionalFormatting sqref="C11:Q11">
    <cfRule type="cellIs" dxfId="5" priority="1" operator="notEqual">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AB148-B0E9-47D9-816D-FA3A5B0C2B2A}">
  <sheetPr filterMode="1"/>
  <dimension ref="A1:K441"/>
  <sheetViews>
    <sheetView showGridLines="0" tabSelected="1" zoomScale="130" zoomScaleNormal="130" workbookViewId="0">
      <pane xSplit="1" topLeftCell="B1" activePane="topRight" state="frozen"/>
      <selection pane="topRight" activeCell="A286" sqref="A286:XFD286"/>
    </sheetView>
  </sheetViews>
  <sheetFormatPr defaultColWidth="0" defaultRowHeight="15" customHeight="1" outlineLevelRow="1" x14ac:dyDescent="0.35"/>
  <cols>
    <col min="1" max="1" width="21.1796875" style="20" customWidth="1"/>
    <col min="2" max="2" width="49.453125" style="8" customWidth="1"/>
    <col min="3" max="3" width="15.81640625" style="8" customWidth="1"/>
    <col min="4" max="4" width="10.1796875" style="7" customWidth="1"/>
    <col min="5" max="5" width="14.453125" style="59" customWidth="1"/>
    <col min="6" max="6" width="11.453125" style="7" customWidth="1"/>
    <col min="7" max="7" width="9.26953125" style="7" customWidth="1"/>
    <col min="8" max="8" width="36.81640625" style="20" customWidth="1"/>
    <col min="9" max="11" width="9.1796875" style="7" hidden="1" customWidth="1"/>
    <col min="12" max="16384" width="0" style="7" hidden="1"/>
  </cols>
  <sheetData>
    <row r="1" spans="1:8" s="4" customFormat="1" ht="12" customHeight="1" x14ac:dyDescent="0.35">
      <c r="A1" s="18" t="s">
        <v>6</v>
      </c>
      <c r="B1" s="1" t="s">
        <v>7</v>
      </c>
      <c r="C1" s="1" t="s">
        <v>8</v>
      </c>
      <c r="D1" s="3" t="s">
        <v>9</v>
      </c>
      <c r="E1" s="57" t="s">
        <v>10</v>
      </c>
      <c r="F1" s="3" t="s">
        <v>11</v>
      </c>
      <c r="G1" s="3" t="s">
        <v>12</v>
      </c>
      <c r="H1" s="18" t="s">
        <v>13</v>
      </c>
    </row>
    <row r="2" spans="1:8" s="6" customFormat="1" ht="29" hidden="1" x14ac:dyDescent="0.35">
      <c r="A2" s="19" t="s">
        <v>14</v>
      </c>
      <c r="B2" s="2"/>
      <c r="C2" s="2"/>
      <c r="D2" s="5"/>
      <c r="E2" s="58"/>
      <c r="F2" s="5"/>
      <c r="H2" s="25"/>
    </row>
    <row r="3" spans="1:8" ht="13" hidden="1" outlineLevel="1" x14ac:dyDescent="0.35">
      <c r="A3" s="20" t="s">
        <v>15</v>
      </c>
      <c r="B3" s="8" t="s">
        <v>16</v>
      </c>
      <c r="D3" s="7" t="s">
        <v>17</v>
      </c>
      <c r="E3" s="59">
        <v>46059</v>
      </c>
      <c r="F3" s="7" t="s">
        <v>18</v>
      </c>
    </row>
    <row r="4" spans="1:8" ht="26" hidden="1" outlineLevel="1" x14ac:dyDescent="0.35">
      <c r="A4" s="20" t="s">
        <v>19</v>
      </c>
      <c r="B4" s="8" t="s">
        <v>20</v>
      </c>
      <c r="D4" s="7" t="s">
        <v>17</v>
      </c>
      <c r="E4" s="59">
        <f>E3</f>
        <v>46059</v>
      </c>
      <c r="F4" s="7" t="s">
        <v>21</v>
      </c>
    </row>
    <row r="5" spans="1:8" ht="13" hidden="1" outlineLevel="1" x14ac:dyDescent="0.35">
      <c r="A5" s="20" t="s">
        <v>22</v>
      </c>
      <c r="B5" s="8" t="s">
        <v>23</v>
      </c>
      <c r="D5" s="7" t="s">
        <v>17</v>
      </c>
      <c r="E5" s="59">
        <f t="shared" ref="E5:E6" si="0">E4</f>
        <v>46059</v>
      </c>
      <c r="F5" s="7" t="s">
        <v>21</v>
      </c>
    </row>
    <row r="6" spans="1:8" ht="26" hidden="1" outlineLevel="1" x14ac:dyDescent="0.35">
      <c r="A6" s="20" t="s">
        <v>24</v>
      </c>
      <c r="B6" s="8" t="s">
        <v>25</v>
      </c>
      <c r="D6" s="7" t="s">
        <v>17</v>
      </c>
      <c r="E6" s="59">
        <f t="shared" si="0"/>
        <v>46059</v>
      </c>
      <c r="F6" s="7" t="s">
        <v>26</v>
      </c>
      <c r="G6" s="7" t="s">
        <v>27</v>
      </c>
    </row>
    <row r="7" spans="1:8" ht="39" hidden="1" outlineLevel="1" x14ac:dyDescent="0.35">
      <c r="A7" s="20" t="s">
        <v>28</v>
      </c>
      <c r="B7" s="8" t="s">
        <v>29</v>
      </c>
      <c r="D7" s="7" t="s">
        <v>17</v>
      </c>
      <c r="E7" s="59">
        <f>E6</f>
        <v>46059</v>
      </c>
      <c r="F7" s="7" t="s">
        <v>30</v>
      </c>
    </row>
    <row r="8" spans="1:8" ht="13" hidden="1" outlineLevel="1" x14ac:dyDescent="0.35">
      <c r="A8" s="20" t="s">
        <v>31</v>
      </c>
      <c r="B8" s="8" t="s">
        <v>32</v>
      </c>
      <c r="D8" s="7" t="s">
        <v>17</v>
      </c>
      <c r="E8" s="59">
        <f t="shared" ref="E8:E54" si="1">E7</f>
        <v>46059</v>
      </c>
      <c r="F8" s="7" t="s">
        <v>21</v>
      </c>
    </row>
    <row r="9" spans="1:8" ht="13" hidden="1" outlineLevel="1" x14ac:dyDescent="0.35">
      <c r="A9" s="20" t="s">
        <v>33</v>
      </c>
      <c r="B9" s="8" t="s">
        <v>34</v>
      </c>
      <c r="D9" s="7" t="s">
        <v>17</v>
      </c>
      <c r="E9" s="59">
        <f t="shared" si="1"/>
        <v>46059</v>
      </c>
      <c r="F9" s="7" t="s">
        <v>26</v>
      </c>
    </row>
    <row r="10" spans="1:8" ht="13" hidden="1" outlineLevel="1" x14ac:dyDescent="0.35">
      <c r="A10" s="20" t="s">
        <v>35</v>
      </c>
      <c r="B10" s="8" t="s">
        <v>36</v>
      </c>
      <c r="D10" s="7" t="s">
        <v>17</v>
      </c>
      <c r="E10" s="59">
        <f t="shared" si="1"/>
        <v>46059</v>
      </c>
      <c r="F10" s="7" t="s">
        <v>37</v>
      </c>
    </row>
    <row r="11" spans="1:8" ht="13" hidden="1" outlineLevel="1" x14ac:dyDescent="0.35">
      <c r="A11" s="20" t="s">
        <v>38</v>
      </c>
      <c r="B11" s="8" t="s">
        <v>39</v>
      </c>
      <c r="D11" s="7" t="s">
        <v>17</v>
      </c>
      <c r="E11" s="59">
        <f t="shared" si="1"/>
        <v>46059</v>
      </c>
      <c r="F11" s="7" t="s">
        <v>40</v>
      </c>
    </row>
    <row r="12" spans="1:8" ht="13" hidden="1" outlineLevel="1" x14ac:dyDescent="0.35">
      <c r="A12" s="20" t="s">
        <v>41</v>
      </c>
      <c r="B12" s="8" t="s">
        <v>42</v>
      </c>
      <c r="D12" s="7" t="s">
        <v>17</v>
      </c>
      <c r="E12" s="59">
        <f t="shared" si="1"/>
        <v>46059</v>
      </c>
      <c r="F12" s="7" t="s">
        <v>18</v>
      </c>
    </row>
    <row r="13" spans="1:8" ht="13" hidden="1" outlineLevel="1" x14ac:dyDescent="0.35">
      <c r="A13" s="20" t="s">
        <v>43</v>
      </c>
      <c r="B13" s="8" t="s">
        <v>42</v>
      </c>
      <c r="D13" s="7" t="s">
        <v>17</v>
      </c>
      <c r="E13" s="59">
        <f t="shared" si="1"/>
        <v>46059</v>
      </c>
      <c r="F13" s="7" t="s">
        <v>18</v>
      </c>
    </row>
    <row r="14" spans="1:8" ht="7" hidden="1" customHeight="1" outlineLevel="1" x14ac:dyDescent="0.35">
      <c r="A14" s="20" t="s">
        <v>44</v>
      </c>
      <c r="B14" s="8" t="s">
        <v>45</v>
      </c>
      <c r="D14" s="7" t="s">
        <v>17</v>
      </c>
      <c r="E14" s="59">
        <f t="shared" si="1"/>
        <v>46059</v>
      </c>
      <c r="F14" s="7" t="s">
        <v>37</v>
      </c>
    </row>
    <row r="15" spans="1:8" ht="13" hidden="1" outlineLevel="1" x14ac:dyDescent="0.35">
      <c r="A15" s="20" t="s">
        <v>46</v>
      </c>
      <c r="B15" s="8" t="s">
        <v>47</v>
      </c>
      <c r="D15" s="7" t="s">
        <v>17</v>
      </c>
      <c r="E15" s="59">
        <f t="shared" si="1"/>
        <v>46059</v>
      </c>
      <c r="F15" s="7" t="s">
        <v>48</v>
      </c>
    </row>
    <row r="16" spans="1:8" ht="13" hidden="1" outlineLevel="1" x14ac:dyDescent="0.35">
      <c r="A16" s="20" t="s">
        <v>49</v>
      </c>
      <c r="B16" s="8" t="s">
        <v>50</v>
      </c>
      <c r="D16" s="7" t="s">
        <v>17</v>
      </c>
      <c r="E16" s="59">
        <f t="shared" si="1"/>
        <v>46059</v>
      </c>
      <c r="F16" s="7" t="s">
        <v>27</v>
      </c>
    </row>
    <row r="17" spans="1:6" ht="13" hidden="1" outlineLevel="1" x14ac:dyDescent="0.35">
      <c r="A17" s="20" t="s">
        <v>51</v>
      </c>
      <c r="B17" s="8" t="s">
        <v>52</v>
      </c>
      <c r="D17" s="7" t="s">
        <v>17</v>
      </c>
      <c r="E17" s="59">
        <f t="shared" si="1"/>
        <v>46059</v>
      </c>
      <c r="F17" s="7" t="s">
        <v>26</v>
      </c>
    </row>
    <row r="18" spans="1:6" ht="13" hidden="1" outlineLevel="1" x14ac:dyDescent="0.35">
      <c r="A18" s="20" t="s">
        <v>53</v>
      </c>
      <c r="B18" s="8" t="s">
        <v>54</v>
      </c>
      <c r="D18" s="7" t="s">
        <v>17</v>
      </c>
      <c r="E18" s="59">
        <f t="shared" si="1"/>
        <v>46059</v>
      </c>
      <c r="F18" s="7" t="s">
        <v>21</v>
      </c>
    </row>
    <row r="19" spans="1:6" ht="13" hidden="1" outlineLevel="1" x14ac:dyDescent="0.35">
      <c r="A19" s="20" t="s">
        <v>55</v>
      </c>
      <c r="B19" s="8" t="s">
        <v>56</v>
      </c>
      <c r="D19" s="7" t="s">
        <v>17</v>
      </c>
      <c r="E19" s="59">
        <f t="shared" si="1"/>
        <v>46059</v>
      </c>
      <c r="F19" s="7" t="s">
        <v>57</v>
      </c>
    </row>
    <row r="20" spans="1:6" ht="13" hidden="1" outlineLevel="1" x14ac:dyDescent="0.35">
      <c r="A20" s="20" t="s">
        <v>35</v>
      </c>
      <c r="B20" s="8" t="s">
        <v>58</v>
      </c>
      <c r="D20" s="7" t="s">
        <v>17</v>
      </c>
      <c r="E20" s="59">
        <f t="shared" si="1"/>
        <v>46059</v>
      </c>
      <c r="F20" s="7" t="s">
        <v>26</v>
      </c>
    </row>
    <row r="21" spans="1:6" ht="13" hidden="1" outlineLevel="1" x14ac:dyDescent="0.35">
      <c r="A21" s="20" t="s">
        <v>59</v>
      </c>
      <c r="B21" s="8" t="s">
        <v>60</v>
      </c>
      <c r="D21" s="7" t="s">
        <v>17</v>
      </c>
      <c r="E21" s="59">
        <f t="shared" si="1"/>
        <v>46059</v>
      </c>
      <c r="F21" s="7" t="s">
        <v>37</v>
      </c>
    </row>
    <row r="22" spans="1:6" ht="13" hidden="1" outlineLevel="1" x14ac:dyDescent="0.35">
      <c r="A22" s="20" t="s">
        <v>61</v>
      </c>
      <c r="B22" s="8" t="s">
        <v>62</v>
      </c>
      <c r="D22" s="7" t="s">
        <v>17</v>
      </c>
      <c r="E22" s="59">
        <f>E21</f>
        <v>46059</v>
      </c>
      <c r="F22" s="7" t="s">
        <v>48</v>
      </c>
    </row>
    <row r="23" spans="1:6" ht="13" hidden="1" outlineLevel="1" x14ac:dyDescent="0.35">
      <c r="A23" s="20" t="s">
        <v>63</v>
      </c>
      <c r="B23" s="8" t="s">
        <v>64</v>
      </c>
      <c r="D23" s="7" t="s">
        <v>17</v>
      </c>
      <c r="E23" s="59">
        <f t="shared" si="1"/>
        <v>46059</v>
      </c>
      <c r="F23" s="7" t="s">
        <v>65</v>
      </c>
    </row>
    <row r="24" spans="1:6" ht="13" hidden="1" outlineLevel="1" x14ac:dyDescent="0.35">
      <c r="A24" s="20" t="s">
        <v>66</v>
      </c>
      <c r="B24" s="8" t="s">
        <v>67</v>
      </c>
      <c r="D24" s="7" t="s">
        <v>17</v>
      </c>
      <c r="E24" s="59">
        <f t="shared" si="1"/>
        <v>46059</v>
      </c>
      <c r="F24" s="7" t="s">
        <v>30</v>
      </c>
    </row>
    <row r="25" spans="1:6" ht="13" hidden="1" outlineLevel="1" x14ac:dyDescent="0.35">
      <c r="A25" s="20" t="s">
        <v>68</v>
      </c>
      <c r="B25" s="8" t="s">
        <v>69</v>
      </c>
      <c r="D25" s="7" t="s">
        <v>17</v>
      </c>
      <c r="E25" s="59">
        <f t="shared" si="1"/>
        <v>46059</v>
      </c>
      <c r="F25" s="7" t="s">
        <v>21</v>
      </c>
    </row>
    <row r="26" spans="1:6" ht="13" hidden="1" outlineLevel="1" x14ac:dyDescent="0.35">
      <c r="A26" s="20" t="s">
        <v>70</v>
      </c>
      <c r="B26" s="8" t="s">
        <v>71</v>
      </c>
      <c r="D26" s="7" t="s">
        <v>17</v>
      </c>
      <c r="E26" s="59">
        <f t="shared" si="1"/>
        <v>46059</v>
      </c>
      <c r="F26" s="7" t="s">
        <v>21</v>
      </c>
    </row>
    <row r="27" spans="1:6" ht="13" hidden="1" outlineLevel="1" x14ac:dyDescent="0.35">
      <c r="A27" s="20" t="s">
        <v>72</v>
      </c>
      <c r="B27" s="8" t="s">
        <v>73</v>
      </c>
      <c r="D27" s="7" t="s">
        <v>17</v>
      </c>
      <c r="E27" s="59">
        <f t="shared" si="1"/>
        <v>46059</v>
      </c>
      <c r="F27" s="7" t="s">
        <v>18</v>
      </c>
    </row>
    <row r="28" spans="1:6" ht="13" hidden="1" outlineLevel="1" x14ac:dyDescent="0.35">
      <c r="A28" s="20" t="s">
        <v>74</v>
      </c>
      <c r="B28" s="8" t="s">
        <v>75</v>
      </c>
      <c r="D28" s="7" t="s">
        <v>17</v>
      </c>
      <c r="E28" s="59">
        <f t="shared" si="1"/>
        <v>46059</v>
      </c>
      <c r="F28" s="7" t="s">
        <v>65</v>
      </c>
    </row>
    <row r="29" spans="1:6" ht="13" hidden="1" outlineLevel="1" x14ac:dyDescent="0.35">
      <c r="A29" s="20" t="s">
        <v>76</v>
      </c>
      <c r="B29" s="8" t="s">
        <v>23</v>
      </c>
      <c r="D29" s="7" t="s">
        <v>17</v>
      </c>
      <c r="E29" s="59">
        <f t="shared" si="1"/>
        <v>46059</v>
      </c>
      <c r="F29" s="7" t="s">
        <v>18</v>
      </c>
    </row>
    <row r="30" spans="1:6" ht="13" hidden="1" outlineLevel="1" x14ac:dyDescent="0.35">
      <c r="A30" s="20" t="s">
        <v>77</v>
      </c>
      <c r="B30" s="8" t="s">
        <v>78</v>
      </c>
      <c r="D30" s="7" t="s">
        <v>17</v>
      </c>
      <c r="E30" s="59">
        <f t="shared" si="1"/>
        <v>46059</v>
      </c>
      <c r="F30" s="7" t="s">
        <v>79</v>
      </c>
    </row>
    <row r="31" spans="1:6" ht="13" hidden="1" outlineLevel="1" x14ac:dyDescent="0.35">
      <c r="A31" s="20" t="s">
        <v>80</v>
      </c>
      <c r="B31" s="8" t="s">
        <v>81</v>
      </c>
      <c r="D31" s="7" t="s">
        <v>17</v>
      </c>
      <c r="E31" s="59">
        <f t="shared" si="1"/>
        <v>46059</v>
      </c>
      <c r="F31" s="7" t="s">
        <v>79</v>
      </c>
    </row>
    <row r="32" spans="1:6" ht="13" hidden="1" outlineLevel="1" x14ac:dyDescent="0.35">
      <c r="A32" s="20" t="s">
        <v>82</v>
      </c>
      <c r="B32" s="8" t="s">
        <v>83</v>
      </c>
      <c r="D32" s="7" t="s">
        <v>17</v>
      </c>
      <c r="E32" s="59">
        <f t="shared" si="1"/>
        <v>46059</v>
      </c>
      <c r="F32" s="7" t="s">
        <v>26</v>
      </c>
    </row>
    <row r="33" spans="1:8" ht="13" hidden="1" outlineLevel="1" x14ac:dyDescent="0.35">
      <c r="A33" s="20" t="s">
        <v>84</v>
      </c>
      <c r="B33" s="8" t="s">
        <v>85</v>
      </c>
      <c r="D33" s="7" t="s">
        <v>17</v>
      </c>
      <c r="E33" s="59">
        <f t="shared" si="1"/>
        <v>46059</v>
      </c>
      <c r="F33" s="7" t="s">
        <v>21</v>
      </c>
    </row>
    <row r="34" spans="1:8" ht="13" hidden="1" outlineLevel="1" x14ac:dyDescent="0.35">
      <c r="A34" s="20" t="s">
        <v>84</v>
      </c>
      <c r="B34" s="8" t="s">
        <v>86</v>
      </c>
      <c r="D34" s="7" t="s">
        <v>17</v>
      </c>
      <c r="E34" s="59">
        <f t="shared" si="1"/>
        <v>46059</v>
      </c>
      <c r="F34" s="7" t="s">
        <v>37</v>
      </c>
    </row>
    <row r="35" spans="1:8" ht="13" hidden="1" outlineLevel="1" x14ac:dyDescent="0.35">
      <c r="A35" s="20" t="s">
        <v>87</v>
      </c>
      <c r="B35" s="8" t="s">
        <v>88</v>
      </c>
      <c r="D35" s="7" t="s">
        <v>17</v>
      </c>
      <c r="E35" s="59">
        <f t="shared" si="1"/>
        <v>46059</v>
      </c>
      <c r="F35" s="7" t="s">
        <v>27</v>
      </c>
    </row>
    <row r="36" spans="1:8" ht="13" hidden="1" outlineLevel="1" x14ac:dyDescent="0.35">
      <c r="A36" s="20" t="s">
        <v>89</v>
      </c>
      <c r="B36" s="8" t="s">
        <v>90</v>
      </c>
      <c r="D36" s="7" t="s">
        <v>17</v>
      </c>
      <c r="E36" s="59">
        <f t="shared" si="1"/>
        <v>46059</v>
      </c>
      <c r="F36" s="7" t="s">
        <v>18</v>
      </c>
    </row>
    <row r="37" spans="1:8" ht="26" hidden="1" outlineLevel="1" x14ac:dyDescent="0.35">
      <c r="A37" s="20" t="s">
        <v>91</v>
      </c>
      <c r="B37" s="8" t="s">
        <v>92</v>
      </c>
      <c r="D37" s="7" t="s">
        <v>17</v>
      </c>
      <c r="E37" s="59">
        <f t="shared" si="1"/>
        <v>46059</v>
      </c>
      <c r="F37" s="7" t="s">
        <v>48</v>
      </c>
    </row>
    <row r="38" spans="1:8" ht="26" hidden="1" outlineLevel="1" x14ac:dyDescent="0.35">
      <c r="A38" s="20" t="s">
        <v>93</v>
      </c>
      <c r="B38" s="8" t="s">
        <v>94</v>
      </c>
      <c r="D38" s="7" t="s">
        <v>17</v>
      </c>
      <c r="E38" s="59">
        <f t="shared" si="1"/>
        <v>46059</v>
      </c>
      <c r="F38" s="7" t="s">
        <v>26</v>
      </c>
      <c r="H38" s="20" t="s">
        <v>95</v>
      </c>
    </row>
    <row r="39" spans="1:8" ht="26" hidden="1" outlineLevel="1" x14ac:dyDescent="0.35">
      <c r="A39" s="20" t="s">
        <v>96</v>
      </c>
      <c r="B39" s="8" t="s">
        <v>97</v>
      </c>
      <c r="D39" s="7" t="s">
        <v>17</v>
      </c>
      <c r="E39" s="59">
        <f t="shared" si="1"/>
        <v>46059</v>
      </c>
      <c r="F39" s="7" t="s">
        <v>18</v>
      </c>
      <c r="H39" s="20" t="s">
        <v>98</v>
      </c>
    </row>
    <row r="40" spans="1:8" ht="13" hidden="1" outlineLevel="1" x14ac:dyDescent="0.35">
      <c r="A40" s="20" t="s">
        <v>99</v>
      </c>
      <c r="B40" s="8" t="s">
        <v>100</v>
      </c>
      <c r="D40" s="7" t="s">
        <v>17</v>
      </c>
      <c r="E40" s="59">
        <f t="shared" si="1"/>
        <v>46059</v>
      </c>
      <c r="F40" s="7" t="s">
        <v>57</v>
      </c>
    </row>
    <row r="41" spans="1:8" ht="13" hidden="1" outlineLevel="1" x14ac:dyDescent="0.35">
      <c r="A41" s="20" t="s">
        <v>101</v>
      </c>
      <c r="B41" s="8" t="s">
        <v>102</v>
      </c>
      <c r="D41" s="7" t="s">
        <v>103</v>
      </c>
      <c r="E41" s="59">
        <f t="shared" si="1"/>
        <v>46059</v>
      </c>
      <c r="F41" s="7" t="s">
        <v>30</v>
      </c>
      <c r="H41" s="20" t="s">
        <v>104</v>
      </c>
    </row>
    <row r="42" spans="1:8" ht="13" hidden="1" outlineLevel="1" x14ac:dyDescent="0.35">
      <c r="A42" s="20" t="s">
        <v>105</v>
      </c>
      <c r="B42" s="8" t="s">
        <v>106</v>
      </c>
      <c r="D42" s="7" t="s">
        <v>17</v>
      </c>
      <c r="E42" s="59">
        <f t="shared" si="1"/>
        <v>46059</v>
      </c>
      <c r="F42" s="7" t="s">
        <v>21</v>
      </c>
    </row>
    <row r="43" spans="1:8" ht="13" hidden="1" outlineLevel="1" x14ac:dyDescent="0.35">
      <c r="A43" s="20" t="s">
        <v>107</v>
      </c>
      <c r="B43" s="8" t="s">
        <v>108</v>
      </c>
      <c r="C43" s="9"/>
      <c r="D43" s="7" t="s">
        <v>17</v>
      </c>
      <c r="E43" s="59">
        <f t="shared" si="1"/>
        <v>46059</v>
      </c>
      <c r="F43" s="7" t="s">
        <v>27</v>
      </c>
    </row>
    <row r="44" spans="1:8" ht="13" hidden="1" outlineLevel="1" x14ac:dyDescent="0.35">
      <c r="A44" s="20" t="s">
        <v>109</v>
      </c>
      <c r="B44" s="8" t="s">
        <v>110</v>
      </c>
      <c r="D44" s="7" t="s">
        <v>17</v>
      </c>
      <c r="E44" s="59">
        <f t="shared" si="1"/>
        <v>46059</v>
      </c>
      <c r="F44" s="7" t="s">
        <v>27</v>
      </c>
    </row>
    <row r="45" spans="1:8" ht="13" hidden="1" outlineLevel="1" x14ac:dyDescent="0.35">
      <c r="A45" s="20" t="s">
        <v>111</v>
      </c>
      <c r="B45" s="8" t="s">
        <v>112</v>
      </c>
      <c r="D45" s="7" t="s">
        <v>17</v>
      </c>
      <c r="E45" s="59">
        <f t="shared" si="1"/>
        <v>46059</v>
      </c>
      <c r="F45" s="7" t="s">
        <v>27</v>
      </c>
    </row>
    <row r="46" spans="1:8" ht="13" hidden="1" outlineLevel="1" x14ac:dyDescent="0.35">
      <c r="A46" s="20" t="s">
        <v>113</v>
      </c>
      <c r="B46" s="8" t="s">
        <v>114</v>
      </c>
      <c r="D46" s="7" t="s">
        <v>17</v>
      </c>
      <c r="E46" s="59">
        <f t="shared" si="1"/>
        <v>46059</v>
      </c>
      <c r="F46" s="7" t="s">
        <v>27</v>
      </c>
    </row>
    <row r="47" spans="1:8" ht="13" hidden="1" outlineLevel="1" x14ac:dyDescent="0.35">
      <c r="A47" s="20" t="s">
        <v>115</v>
      </c>
      <c r="B47" s="8" t="s">
        <v>116</v>
      </c>
      <c r="C47" s="9"/>
      <c r="D47" s="7" t="s">
        <v>17</v>
      </c>
      <c r="E47" s="59">
        <f t="shared" si="1"/>
        <v>46059</v>
      </c>
      <c r="F47" s="7" t="s">
        <v>21</v>
      </c>
    </row>
    <row r="48" spans="1:8" ht="13" hidden="1" outlineLevel="1" x14ac:dyDescent="0.35">
      <c r="A48" s="20" t="s">
        <v>117</v>
      </c>
      <c r="B48" s="8" t="s">
        <v>118</v>
      </c>
      <c r="D48" s="7" t="s">
        <v>17</v>
      </c>
      <c r="E48" s="59">
        <f t="shared" si="1"/>
        <v>46059</v>
      </c>
      <c r="F48" s="7" t="s">
        <v>21</v>
      </c>
    </row>
    <row r="49" spans="1:9" ht="13" hidden="1" outlineLevel="1" x14ac:dyDescent="0.35">
      <c r="A49" s="20" t="s">
        <v>119</v>
      </c>
      <c r="B49" s="8" t="s">
        <v>120</v>
      </c>
      <c r="D49" s="7" t="s">
        <v>17</v>
      </c>
      <c r="E49" s="59">
        <f t="shared" si="1"/>
        <v>46059</v>
      </c>
      <c r="F49" s="7" t="s">
        <v>21</v>
      </c>
    </row>
    <row r="50" spans="1:9" ht="26" hidden="1" outlineLevel="1" x14ac:dyDescent="0.35">
      <c r="A50" s="20" t="s">
        <v>121</v>
      </c>
      <c r="B50" s="8" t="s">
        <v>122</v>
      </c>
      <c r="D50" s="7" t="s">
        <v>17</v>
      </c>
      <c r="E50" s="59">
        <f t="shared" si="1"/>
        <v>46059</v>
      </c>
      <c r="F50" s="7" t="s">
        <v>21</v>
      </c>
    </row>
    <row r="51" spans="1:9" ht="13" hidden="1" outlineLevel="1" x14ac:dyDescent="0.35">
      <c r="A51" s="20" t="s">
        <v>123</v>
      </c>
      <c r="B51" s="20" t="s">
        <v>124</v>
      </c>
      <c r="C51" s="27"/>
      <c r="D51" s="7" t="s">
        <v>17</v>
      </c>
      <c r="E51" s="59">
        <f t="shared" si="1"/>
        <v>46059</v>
      </c>
      <c r="F51" s="7" t="s">
        <v>30</v>
      </c>
    </row>
    <row r="52" spans="1:9" ht="13" hidden="1" outlineLevel="1" x14ac:dyDescent="0.35">
      <c r="A52" s="20" t="s">
        <v>125</v>
      </c>
      <c r="B52" s="8" t="s">
        <v>126</v>
      </c>
      <c r="D52" s="7" t="s">
        <v>17</v>
      </c>
      <c r="E52" s="59">
        <f t="shared" si="1"/>
        <v>46059</v>
      </c>
      <c r="F52" s="7" t="s">
        <v>21</v>
      </c>
    </row>
    <row r="53" spans="1:9" ht="13" hidden="1" outlineLevel="1" x14ac:dyDescent="0.35">
      <c r="A53" s="20" t="s">
        <v>68</v>
      </c>
      <c r="B53" s="8" t="s">
        <v>127</v>
      </c>
      <c r="D53" s="7" t="s">
        <v>17</v>
      </c>
      <c r="E53" s="59">
        <f t="shared" si="1"/>
        <v>46059</v>
      </c>
      <c r="F53" s="7" t="s">
        <v>21</v>
      </c>
    </row>
    <row r="54" spans="1:9" ht="13" hidden="1" outlineLevel="1" x14ac:dyDescent="0.35">
      <c r="A54" s="20" t="s">
        <v>128</v>
      </c>
      <c r="B54" s="8" t="s">
        <v>129</v>
      </c>
      <c r="C54" s="9"/>
      <c r="D54" s="7" t="s">
        <v>17</v>
      </c>
      <c r="E54" s="59">
        <f t="shared" si="1"/>
        <v>46059</v>
      </c>
      <c r="F54" s="7" t="s">
        <v>48</v>
      </c>
    </row>
    <row r="55" spans="1:9" ht="13" hidden="1" outlineLevel="1" x14ac:dyDescent="0.35"/>
    <row r="56" spans="1:9" ht="13" hidden="1" collapsed="1" x14ac:dyDescent="0.35">
      <c r="I56" s="7" t="s">
        <v>130</v>
      </c>
    </row>
    <row r="57" spans="1:9" ht="13" hidden="1" x14ac:dyDescent="0.35"/>
    <row r="58" spans="1:9" s="13" customFormat="1" ht="26" hidden="1" x14ac:dyDescent="0.35">
      <c r="A58" s="21" t="s">
        <v>131</v>
      </c>
      <c r="B58" s="11"/>
      <c r="C58" s="11"/>
      <c r="D58" s="12"/>
      <c r="E58" s="60"/>
      <c r="F58" s="12"/>
      <c r="H58" s="26"/>
    </row>
    <row r="59" spans="1:9" ht="13" hidden="1" outlineLevel="1" x14ac:dyDescent="0.35">
      <c r="A59" s="20" t="s">
        <v>132</v>
      </c>
      <c r="B59" s="8" t="s">
        <v>133</v>
      </c>
      <c r="D59" s="7" t="s">
        <v>103</v>
      </c>
      <c r="E59" s="59">
        <v>46066</v>
      </c>
      <c r="F59" s="7" t="s">
        <v>21</v>
      </c>
      <c r="G59" s="7" t="s">
        <v>18</v>
      </c>
      <c r="H59" s="20" t="s">
        <v>134</v>
      </c>
    </row>
    <row r="60" spans="1:9" ht="13" hidden="1" outlineLevel="1" x14ac:dyDescent="0.35">
      <c r="A60" s="20" t="s">
        <v>55</v>
      </c>
      <c r="B60" s="8" t="s">
        <v>135</v>
      </c>
      <c r="D60" s="7" t="s">
        <v>17</v>
      </c>
      <c r="E60" s="59">
        <f>E59</f>
        <v>46066</v>
      </c>
      <c r="F60" s="7" t="s">
        <v>57</v>
      </c>
    </row>
    <row r="61" spans="1:9" ht="13" hidden="1" outlineLevel="1" x14ac:dyDescent="0.35">
      <c r="A61" s="20" t="s">
        <v>136</v>
      </c>
      <c r="B61" s="8" t="s">
        <v>137</v>
      </c>
      <c r="D61" s="7" t="s">
        <v>17</v>
      </c>
      <c r="E61" s="59">
        <f t="shared" ref="E61:E65" si="2">E60</f>
        <v>46066</v>
      </c>
      <c r="F61" s="7" t="s">
        <v>48</v>
      </c>
    </row>
    <row r="62" spans="1:9" ht="13" hidden="1" outlineLevel="1" x14ac:dyDescent="0.35">
      <c r="A62" s="20" t="s">
        <v>138</v>
      </c>
      <c r="B62" s="8" t="s">
        <v>139</v>
      </c>
      <c r="D62" s="7" t="s">
        <v>17</v>
      </c>
      <c r="E62" s="59">
        <f t="shared" si="2"/>
        <v>46066</v>
      </c>
      <c r="F62" s="7" t="s">
        <v>27</v>
      </c>
    </row>
    <row r="63" spans="1:9" ht="13" hidden="1" outlineLevel="1" x14ac:dyDescent="0.35">
      <c r="A63" s="20" t="s">
        <v>140</v>
      </c>
      <c r="B63" s="8" t="s">
        <v>141</v>
      </c>
      <c r="D63" s="7" t="s">
        <v>17</v>
      </c>
      <c r="E63" s="59">
        <f t="shared" si="2"/>
        <v>46066</v>
      </c>
      <c r="F63" s="7" t="s">
        <v>37</v>
      </c>
    </row>
    <row r="64" spans="1:9" ht="13" hidden="1" outlineLevel="1" x14ac:dyDescent="0.35">
      <c r="A64" s="20" t="s">
        <v>142</v>
      </c>
      <c r="B64" s="8" t="s">
        <v>143</v>
      </c>
      <c r="D64" s="7" t="s">
        <v>17</v>
      </c>
      <c r="E64" s="59">
        <f t="shared" si="2"/>
        <v>46066</v>
      </c>
      <c r="F64" s="7" t="s">
        <v>18</v>
      </c>
    </row>
    <row r="65" spans="1:10" ht="13" hidden="1" outlineLevel="1" x14ac:dyDescent="0.35">
      <c r="A65" s="20" t="s">
        <v>144</v>
      </c>
      <c r="B65" s="8" t="s">
        <v>145</v>
      </c>
      <c r="D65" s="7" t="s">
        <v>17</v>
      </c>
      <c r="E65" s="59">
        <f t="shared" si="2"/>
        <v>46066</v>
      </c>
      <c r="F65" s="7" t="s">
        <v>40</v>
      </c>
    </row>
    <row r="66" spans="1:10" ht="13" hidden="1" outlineLevel="1" x14ac:dyDescent="0.35"/>
    <row r="67" spans="1:10" ht="13" hidden="1" collapsed="1" x14ac:dyDescent="0.35"/>
    <row r="68" spans="1:10" ht="13" hidden="1" x14ac:dyDescent="0.35"/>
    <row r="69" spans="1:10" s="13" customFormat="1" ht="26" hidden="1" x14ac:dyDescent="0.35">
      <c r="A69" s="21" t="s">
        <v>146</v>
      </c>
      <c r="B69" s="11"/>
      <c r="C69" s="11"/>
      <c r="D69" s="12"/>
      <c r="E69" s="60"/>
      <c r="F69" s="12"/>
      <c r="H69" s="26"/>
    </row>
    <row r="70" spans="1:10" ht="13" hidden="1" outlineLevel="1" x14ac:dyDescent="0.35">
      <c r="A70" s="20" t="s">
        <v>147</v>
      </c>
      <c r="B70" s="8" t="s">
        <v>148</v>
      </c>
      <c r="D70" s="7" t="s">
        <v>17</v>
      </c>
      <c r="E70" s="59">
        <v>45708</v>
      </c>
      <c r="F70" s="7" t="s">
        <v>37</v>
      </c>
    </row>
    <row r="71" spans="1:10" ht="13" hidden="1" outlineLevel="1" x14ac:dyDescent="0.35">
      <c r="A71" s="20" t="s">
        <v>149</v>
      </c>
      <c r="B71" s="8" t="s">
        <v>150</v>
      </c>
      <c r="D71" s="7" t="s">
        <v>17</v>
      </c>
      <c r="E71" s="59">
        <f>E70</f>
        <v>45708</v>
      </c>
      <c r="F71" s="7" t="s">
        <v>18</v>
      </c>
    </row>
    <row r="72" spans="1:10" ht="13" hidden="1" outlineLevel="1" x14ac:dyDescent="0.35">
      <c r="A72" s="20" t="s">
        <v>33</v>
      </c>
      <c r="B72" s="8" t="s">
        <v>151</v>
      </c>
      <c r="D72" s="7" t="s">
        <v>17</v>
      </c>
      <c r="E72" s="59">
        <f t="shared" ref="E72:E107" si="3">E71</f>
        <v>45708</v>
      </c>
      <c r="F72" s="7" t="s">
        <v>37</v>
      </c>
    </row>
    <row r="73" spans="1:10" ht="13" hidden="1" outlineLevel="1" x14ac:dyDescent="0.35">
      <c r="A73" s="20" t="s">
        <v>152</v>
      </c>
      <c r="B73" s="8" t="s">
        <v>153</v>
      </c>
      <c r="D73" s="7" t="s">
        <v>17</v>
      </c>
      <c r="E73" s="59">
        <f t="shared" si="3"/>
        <v>45708</v>
      </c>
      <c r="F73" s="7" t="s">
        <v>37</v>
      </c>
    </row>
    <row r="74" spans="1:10" ht="13" hidden="1" outlineLevel="1" x14ac:dyDescent="0.35">
      <c r="A74" s="20" t="s">
        <v>154</v>
      </c>
      <c r="B74" s="8" t="s">
        <v>155</v>
      </c>
      <c r="D74" s="7" t="s">
        <v>17</v>
      </c>
      <c r="E74" s="59">
        <f t="shared" si="3"/>
        <v>45708</v>
      </c>
      <c r="F74" s="7" t="s">
        <v>26</v>
      </c>
    </row>
    <row r="75" spans="1:10" ht="13" hidden="1" outlineLevel="1" x14ac:dyDescent="0.35">
      <c r="A75" s="20" t="s">
        <v>156</v>
      </c>
      <c r="B75" s="8" t="s">
        <v>157</v>
      </c>
      <c r="D75" s="7" t="s">
        <v>17</v>
      </c>
      <c r="E75" s="59">
        <f t="shared" si="3"/>
        <v>45708</v>
      </c>
      <c r="F75" s="7" t="s">
        <v>57</v>
      </c>
    </row>
    <row r="76" spans="1:10" ht="13" hidden="1" outlineLevel="1" x14ac:dyDescent="0.35">
      <c r="A76" s="20" t="s">
        <v>158</v>
      </c>
      <c r="B76" s="8" t="s">
        <v>159</v>
      </c>
      <c r="D76" s="7" t="s">
        <v>17</v>
      </c>
      <c r="E76" s="59">
        <f t="shared" si="3"/>
        <v>45708</v>
      </c>
      <c r="F76" s="7" t="s">
        <v>26</v>
      </c>
    </row>
    <row r="77" spans="1:10" ht="13" hidden="1" outlineLevel="1" x14ac:dyDescent="0.35"/>
    <row r="78" spans="1:10" ht="13" hidden="1" collapsed="1" x14ac:dyDescent="0.35"/>
    <row r="79" spans="1:10" ht="13" hidden="1" x14ac:dyDescent="0.35"/>
    <row r="80" spans="1:10" s="13" customFormat="1" ht="26" hidden="1" x14ac:dyDescent="0.35">
      <c r="A80" s="21" t="s">
        <v>160</v>
      </c>
      <c r="B80" s="14"/>
      <c r="C80" s="14"/>
      <c r="D80" s="10"/>
      <c r="E80" s="61"/>
      <c r="F80" s="10"/>
      <c r="G80" s="10"/>
      <c r="H80" s="21"/>
      <c r="I80" s="10"/>
      <c r="J80" s="10"/>
    </row>
    <row r="81" spans="1:8" ht="13" hidden="1" outlineLevel="1" x14ac:dyDescent="0.35">
      <c r="A81" s="20" t="s">
        <v>161</v>
      </c>
      <c r="B81" s="8" t="s">
        <v>162</v>
      </c>
      <c r="C81" s="9"/>
      <c r="D81" s="7" t="s">
        <v>17</v>
      </c>
      <c r="E81" s="59">
        <v>45715</v>
      </c>
      <c r="F81" s="7" t="s">
        <v>26</v>
      </c>
    </row>
    <row r="82" spans="1:8" ht="26" hidden="1" outlineLevel="1" x14ac:dyDescent="0.35">
      <c r="A82" s="20" t="s">
        <v>163</v>
      </c>
      <c r="B82" s="8" t="s">
        <v>164</v>
      </c>
      <c r="D82" s="7" t="s">
        <v>17</v>
      </c>
      <c r="E82" s="59">
        <f t="shared" si="3"/>
        <v>45715</v>
      </c>
      <c r="F82" s="7" t="s">
        <v>26</v>
      </c>
    </row>
    <row r="83" spans="1:8" ht="13" hidden="1" outlineLevel="1" x14ac:dyDescent="0.35">
      <c r="A83" s="20" t="s">
        <v>165</v>
      </c>
      <c r="B83" s="8" t="s">
        <v>166</v>
      </c>
      <c r="D83" s="7" t="s">
        <v>17</v>
      </c>
      <c r="E83" s="59">
        <f t="shared" si="3"/>
        <v>45715</v>
      </c>
      <c r="F83" s="7" t="s">
        <v>79</v>
      </c>
    </row>
    <row r="84" spans="1:8" ht="14.5" hidden="1" outlineLevel="1" x14ac:dyDescent="0.35">
      <c r="A84" s="20" t="s">
        <v>167</v>
      </c>
      <c r="B84" s="8" t="s">
        <v>168</v>
      </c>
      <c r="D84" s="7" t="s">
        <v>17</v>
      </c>
      <c r="E84" s="59">
        <f t="shared" si="3"/>
        <v>45715</v>
      </c>
      <c r="F84" s="7" t="s">
        <v>21</v>
      </c>
    </row>
    <row r="85" spans="1:8" ht="13" hidden="1" outlineLevel="1" x14ac:dyDescent="0.35">
      <c r="A85" s="20" t="s">
        <v>167</v>
      </c>
      <c r="B85" s="8" t="s">
        <v>169</v>
      </c>
      <c r="D85" s="7" t="s">
        <v>17</v>
      </c>
      <c r="E85" s="59">
        <f t="shared" si="3"/>
        <v>45715</v>
      </c>
      <c r="F85" s="7" t="s">
        <v>21</v>
      </c>
    </row>
    <row r="86" spans="1:8" ht="13" hidden="1" outlineLevel="1" x14ac:dyDescent="0.35">
      <c r="A86" s="20" t="s">
        <v>170</v>
      </c>
      <c r="B86" s="8" t="s">
        <v>171</v>
      </c>
      <c r="D86" s="7" t="s">
        <v>17</v>
      </c>
      <c r="E86" s="59">
        <f t="shared" si="3"/>
        <v>45715</v>
      </c>
      <c r="F86" s="7" t="s">
        <v>18</v>
      </c>
    </row>
    <row r="87" spans="1:8" ht="13" hidden="1" outlineLevel="1" x14ac:dyDescent="0.35">
      <c r="A87" s="20" t="s">
        <v>172</v>
      </c>
      <c r="B87" s="8" t="s">
        <v>173</v>
      </c>
      <c r="D87" s="7" t="s">
        <v>17</v>
      </c>
      <c r="E87" s="59">
        <f t="shared" si="3"/>
        <v>45715</v>
      </c>
      <c r="F87" s="7" t="s">
        <v>21</v>
      </c>
      <c r="H87" s="20" t="s">
        <v>174</v>
      </c>
    </row>
    <row r="88" spans="1:8" ht="13" hidden="1" outlineLevel="1" x14ac:dyDescent="0.35">
      <c r="A88" s="20" t="s">
        <v>136</v>
      </c>
      <c r="B88" s="8" t="s">
        <v>175</v>
      </c>
      <c r="D88" s="7" t="s">
        <v>17</v>
      </c>
      <c r="E88" s="59">
        <f t="shared" si="3"/>
        <v>45715</v>
      </c>
      <c r="F88" s="7" t="s">
        <v>48</v>
      </c>
      <c r="H88" s="20" t="s">
        <v>176</v>
      </c>
    </row>
    <row r="89" spans="1:8" ht="39" hidden="1" outlineLevel="1" x14ac:dyDescent="0.35">
      <c r="A89" s="20" t="s">
        <v>177</v>
      </c>
      <c r="B89" s="8" t="s">
        <v>178</v>
      </c>
      <c r="C89" s="9"/>
      <c r="D89" s="7" t="s">
        <v>17</v>
      </c>
      <c r="E89" s="59">
        <f>E88</f>
        <v>45715</v>
      </c>
      <c r="F89" s="7" t="s">
        <v>21</v>
      </c>
    </row>
    <row r="90" spans="1:8" ht="13" hidden="1" outlineLevel="1" x14ac:dyDescent="0.35">
      <c r="A90" s="20" t="s">
        <v>179</v>
      </c>
      <c r="B90" s="8" t="s">
        <v>180</v>
      </c>
      <c r="D90" s="7" t="s">
        <v>17</v>
      </c>
      <c r="E90" s="59">
        <f t="shared" si="3"/>
        <v>45715</v>
      </c>
      <c r="F90" s="7" t="s">
        <v>27</v>
      </c>
    </row>
    <row r="91" spans="1:8" ht="39" hidden="1" outlineLevel="1" x14ac:dyDescent="0.35">
      <c r="A91" s="20" t="s">
        <v>181</v>
      </c>
      <c r="B91" s="8" t="s">
        <v>182</v>
      </c>
      <c r="D91" s="7" t="s">
        <v>17</v>
      </c>
      <c r="E91" s="59">
        <f t="shared" si="3"/>
        <v>45715</v>
      </c>
      <c r="F91" s="7" t="s">
        <v>30</v>
      </c>
      <c r="H91" s="20" t="s">
        <v>183</v>
      </c>
    </row>
    <row r="92" spans="1:8" ht="13" hidden="1" outlineLevel="1" x14ac:dyDescent="0.35">
      <c r="A92" s="20" t="s">
        <v>184</v>
      </c>
      <c r="B92" s="8" t="s">
        <v>185</v>
      </c>
      <c r="C92" s="9"/>
      <c r="D92" s="7" t="s">
        <v>17</v>
      </c>
      <c r="E92" s="59">
        <f t="shared" si="3"/>
        <v>45715</v>
      </c>
      <c r="F92" s="7" t="s">
        <v>30</v>
      </c>
    </row>
    <row r="93" spans="1:8" ht="13" hidden="1" outlineLevel="1" x14ac:dyDescent="0.35">
      <c r="A93" s="20" t="s">
        <v>186</v>
      </c>
      <c r="B93" s="8" t="s">
        <v>187</v>
      </c>
      <c r="D93" s="7" t="s">
        <v>17</v>
      </c>
      <c r="E93" s="59">
        <f t="shared" si="3"/>
        <v>45715</v>
      </c>
      <c r="F93" s="7" t="s">
        <v>30</v>
      </c>
      <c r="H93" s="20" t="s">
        <v>188</v>
      </c>
    </row>
    <row r="94" spans="1:8" ht="13" hidden="1" outlineLevel="1" x14ac:dyDescent="0.35">
      <c r="A94" s="20" t="s">
        <v>189</v>
      </c>
      <c r="B94" s="8" t="s">
        <v>190</v>
      </c>
      <c r="D94" s="7" t="s">
        <v>17</v>
      </c>
      <c r="E94" s="59">
        <f t="shared" si="3"/>
        <v>45715</v>
      </c>
      <c r="F94" s="7" t="s">
        <v>30</v>
      </c>
    </row>
    <row r="95" spans="1:8" ht="13" hidden="1" outlineLevel="1" x14ac:dyDescent="0.35">
      <c r="A95" s="20" t="s">
        <v>191</v>
      </c>
      <c r="B95" s="8" t="s">
        <v>192</v>
      </c>
      <c r="C95" s="9"/>
      <c r="D95" s="7" t="s">
        <v>17</v>
      </c>
      <c r="E95" s="59">
        <f t="shared" si="3"/>
        <v>45715</v>
      </c>
      <c r="F95" s="7" t="s">
        <v>57</v>
      </c>
    </row>
    <row r="96" spans="1:8" ht="13" hidden="1" outlineLevel="1" x14ac:dyDescent="0.35">
      <c r="A96" s="20" t="s">
        <v>193</v>
      </c>
      <c r="B96" s="8" t="s">
        <v>194</v>
      </c>
      <c r="D96" s="7" t="s">
        <v>17</v>
      </c>
      <c r="E96" s="59">
        <f t="shared" si="3"/>
        <v>45715</v>
      </c>
      <c r="F96" s="7" t="s">
        <v>27</v>
      </c>
    </row>
    <row r="97" spans="1:8" ht="13" hidden="1" outlineLevel="1" x14ac:dyDescent="0.35">
      <c r="A97" s="20" t="s">
        <v>195</v>
      </c>
      <c r="B97" s="8" t="s">
        <v>196</v>
      </c>
      <c r="D97" s="7" t="s">
        <v>17</v>
      </c>
      <c r="E97" s="59">
        <f t="shared" si="3"/>
        <v>45715</v>
      </c>
      <c r="F97" s="7" t="s">
        <v>48</v>
      </c>
    </row>
    <row r="98" spans="1:8" ht="13" hidden="1" outlineLevel="1" x14ac:dyDescent="0.35">
      <c r="A98" s="20" t="s">
        <v>197</v>
      </c>
      <c r="B98" s="8" t="s">
        <v>198</v>
      </c>
      <c r="D98" s="7" t="s">
        <v>17</v>
      </c>
      <c r="E98" s="59">
        <f t="shared" si="3"/>
        <v>45715</v>
      </c>
      <c r="F98" s="7" t="s">
        <v>48</v>
      </c>
      <c r="H98" s="20" t="s">
        <v>199</v>
      </c>
    </row>
    <row r="99" spans="1:8" ht="39" hidden="1" outlineLevel="1" x14ac:dyDescent="0.35">
      <c r="A99" s="20" t="s">
        <v>197</v>
      </c>
      <c r="B99" s="8" t="s">
        <v>200</v>
      </c>
      <c r="D99" s="7" t="s">
        <v>17</v>
      </c>
      <c r="E99" s="59">
        <f t="shared" si="3"/>
        <v>45715</v>
      </c>
      <c r="F99" s="7" t="s">
        <v>48</v>
      </c>
      <c r="H99" s="20" t="s">
        <v>201</v>
      </c>
    </row>
    <row r="100" spans="1:8" ht="13" hidden="1" outlineLevel="1" x14ac:dyDescent="0.35">
      <c r="B100" s="8" t="s">
        <v>202</v>
      </c>
      <c r="D100" s="7" t="s">
        <v>17</v>
      </c>
      <c r="E100" s="59">
        <f t="shared" si="3"/>
        <v>45715</v>
      </c>
      <c r="F100" s="7" t="s">
        <v>18</v>
      </c>
    </row>
    <row r="101" spans="1:8" ht="26" hidden="1" outlineLevel="1" x14ac:dyDescent="0.35">
      <c r="A101" s="20" t="s">
        <v>203</v>
      </c>
      <c r="B101" s="8" t="s">
        <v>204</v>
      </c>
      <c r="C101" s="9"/>
      <c r="D101" s="7" t="s">
        <v>17</v>
      </c>
      <c r="E101" s="59">
        <f t="shared" si="3"/>
        <v>45715</v>
      </c>
      <c r="F101" s="7" t="s">
        <v>21</v>
      </c>
    </row>
    <row r="102" spans="1:8" ht="13" hidden="1" outlineLevel="1" x14ac:dyDescent="0.35">
      <c r="A102" s="20" t="s">
        <v>205</v>
      </c>
      <c r="B102" s="8" t="s">
        <v>206</v>
      </c>
      <c r="D102" s="7" t="s">
        <v>17</v>
      </c>
      <c r="E102" s="59">
        <f t="shared" si="3"/>
        <v>45715</v>
      </c>
      <c r="F102" s="7" t="s">
        <v>26</v>
      </c>
    </row>
    <row r="103" spans="1:8" ht="13" hidden="1" outlineLevel="1" x14ac:dyDescent="0.35">
      <c r="A103" s="20" t="s">
        <v>207</v>
      </c>
      <c r="B103" s="8" t="s">
        <v>208</v>
      </c>
      <c r="D103" s="7" t="s">
        <v>17</v>
      </c>
      <c r="E103" s="59">
        <f t="shared" si="3"/>
        <v>45715</v>
      </c>
      <c r="F103" s="7" t="s">
        <v>65</v>
      </c>
    </row>
    <row r="104" spans="1:8" ht="13" hidden="1" outlineLevel="1" x14ac:dyDescent="0.35">
      <c r="A104" s="20" t="s">
        <v>209</v>
      </c>
      <c r="B104" s="8" t="s">
        <v>210</v>
      </c>
      <c r="D104" s="7" t="s">
        <v>17</v>
      </c>
      <c r="E104" s="59">
        <f t="shared" si="3"/>
        <v>45715</v>
      </c>
      <c r="F104" s="7" t="s">
        <v>21</v>
      </c>
    </row>
    <row r="105" spans="1:8" ht="13" hidden="1" outlineLevel="1" x14ac:dyDescent="0.35">
      <c r="A105" s="20" t="s">
        <v>167</v>
      </c>
      <c r="B105" s="8" t="s">
        <v>211</v>
      </c>
      <c r="D105" s="7" t="s">
        <v>17</v>
      </c>
      <c r="E105" s="59">
        <f t="shared" si="3"/>
        <v>45715</v>
      </c>
      <c r="F105" s="7" t="s">
        <v>21</v>
      </c>
    </row>
    <row r="106" spans="1:8" ht="13" hidden="1" outlineLevel="1" x14ac:dyDescent="0.35">
      <c r="A106" s="20" t="s">
        <v>212</v>
      </c>
      <c r="B106" s="8" t="s">
        <v>213</v>
      </c>
      <c r="D106" s="7" t="s">
        <v>17</v>
      </c>
      <c r="E106" s="59">
        <f t="shared" si="3"/>
        <v>45715</v>
      </c>
      <c r="F106" s="7" t="s">
        <v>18</v>
      </c>
    </row>
    <row r="107" spans="1:8" ht="13" hidden="1" outlineLevel="1" x14ac:dyDescent="0.35">
      <c r="A107" s="20" t="s">
        <v>214</v>
      </c>
      <c r="B107" s="8" t="s">
        <v>215</v>
      </c>
      <c r="D107" s="7" t="s">
        <v>17</v>
      </c>
      <c r="E107" s="59">
        <f t="shared" si="3"/>
        <v>45715</v>
      </c>
      <c r="F107" s="7" t="s">
        <v>18</v>
      </c>
    </row>
    <row r="108" spans="1:8" ht="13" hidden="1" outlineLevel="1" x14ac:dyDescent="0.35">
      <c r="A108" s="20" t="s">
        <v>216</v>
      </c>
      <c r="B108" s="8" t="s">
        <v>217</v>
      </c>
      <c r="D108" s="7" t="s">
        <v>103</v>
      </c>
      <c r="E108" s="59">
        <f t="shared" ref="E108:E116" si="4">E107</f>
        <v>45715</v>
      </c>
      <c r="F108" s="7" t="s">
        <v>37</v>
      </c>
    </row>
    <row r="109" spans="1:8" ht="26" hidden="1" outlineLevel="1" x14ac:dyDescent="0.35">
      <c r="A109" s="20" t="s">
        <v>218</v>
      </c>
      <c r="B109" s="8" t="s">
        <v>219</v>
      </c>
      <c r="D109" s="7" t="s">
        <v>17</v>
      </c>
      <c r="E109" s="59">
        <f>E108</f>
        <v>45715</v>
      </c>
      <c r="F109" s="7" t="s">
        <v>18</v>
      </c>
      <c r="H109" s="20" t="s">
        <v>220</v>
      </c>
    </row>
    <row r="110" spans="1:8" ht="26" hidden="1" outlineLevel="1" x14ac:dyDescent="0.35">
      <c r="A110" s="20" t="s">
        <v>221</v>
      </c>
      <c r="B110" s="8" t="s">
        <v>222</v>
      </c>
      <c r="D110" s="7" t="s">
        <v>223</v>
      </c>
      <c r="E110" s="59">
        <f t="shared" si="4"/>
        <v>45715</v>
      </c>
      <c r="F110" s="7" t="s">
        <v>37</v>
      </c>
      <c r="H110" s="20" t="s">
        <v>224</v>
      </c>
    </row>
    <row r="111" spans="1:8" ht="26" hidden="1" outlineLevel="1" x14ac:dyDescent="0.35">
      <c r="A111" s="20" t="s">
        <v>225</v>
      </c>
      <c r="B111" s="8" t="s">
        <v>226</v>
      </c>
      <c r="D111" s="7" t="s">
        <v>17</v>
      </c>
      <c r="E111" s="59">
        <f t="shared" si="4"/>
        <v>45715</v>
      </c>
      <c r="F111" s="7" t="s">
        <v>57</v>
      </c>
      <c r="H111" s="20" t="s">
        <v>227</v>
      </c>
    </row>
    <row r="112" spans="1:8" ht="13" hidden="1" outlineLevel="1" x14ac:dyDescent="0.35">
      <c r="A112" s="20" t="s">
        <v>228</v>
      </c>
      <c r="B112" s="8" t="s">
        <v>229</v>
      </c>
      <c r="D112" s="7" t="s">
        <v>17</v>
      </c>
      <c r="E112" s="59">
        <f t="shared" si="4"/>
        <v>45715</v>
      </c>
      <c r="F112" s="7" t="s">
        <v>30</v>
      </c>
    </row>
    <row r="113" spans="1:8" ht="13" hidden="1" outlineLevel="1" x14ac:dyDescent="0.35">
      <c r="A113" s="20" t="s">
        <v>136</v>
      </c>
      <c r="B113" s="8" t="s">
        <v>230</v>
      </c>
      <c r="D113" s="7" t="s">
        <v>17</v>
      </c>
      <c r="E113" s="59">
        <f t="shared" si="4"/>
        <v>45715</v>
      </c>
      <c r="F113" s="7" t="s">
        <v>48</v>
      </c>
    </row>
    <row r="114" spans="1:8" ht="13" hidden="1" outlineLevel="1" x14ac:dyDescent="0.35">
      <c r="A114" s="20" t="s">
        <v>231</v>
      </c>
      <c r="B114" s="8" t="s">
        <v>232</v>
      </c>
      <c r="D114" s="7" t="s">
        <v>17</v>
      </c>
      <c r="E114" s="59">
        <f t="shared" si="4"/>
        <v>45715</v>
      </c>
      <c r="F114" s="7" t="s">
        <v>37</v>
      </c>
    </row>
    <row r="115" spans="1:8" ht="13" hidden="1" outlineLevel="1" x14ac:dyDescent="0.35">
      <c r="A115" s="20" t="s">
        <v>233</v>
      </c>
      <c r="B115" s="8" t="s">
        <v>234</v>
      </c>
      <c r="D115" s="7" t="s">
        <v>17</v>
      </c>
      <c r="E115" s="59">
        <f t="shared" si="4"/>
        <v>45715</v>
      </c>
      <c r="F115" s="7" t="s">
        <v>21</v>
      </c>
    </row>
    <row r="116" spans="1:8" ht="13" hidden="1" outlineLevel="1" x14ac:dyDescent="0.35">
      <c r="A116" s="20" t="s">
        <v>165</v>
      </c>
      <c r="B116" s="8" t="s">
        <v>235</v>
      </c>
      <c r="D116" s="7" t="s">
        <v>17</v>
      </c>
      <c r="E116" s="59">
        <f t="shared" si="4"/>
        <v>45715</v>
      </c>
      <c r="F116" s="7" t="s">
        <v>79</v>
      </c>
    </row>
    <row r="117" spans="1:8" ht="13" hidden="1" outlineLevel="1" x14ac:dyDescent="0.35"/>
    <row r="118" spans="1:8" ht="13" hidden="1" collapsed="1" x14ac:dyDescent="0.35">
      <c r="A118" s="22"/>
      <c r="B118" s="16"/>
      <c r="C118" s="16"/>
      <c r="D118" s="15"/>
      <c r="E118" s="62"/>
      <c r="F118" s="15"/>
      <c r="H118" s="22"/>
    </row>
    <row r="119" spans="1:8" ht="13" hidden="1" x14ac:dyDescent="0.35">
      <c r="A119" s="22"/>
      <c r="B119" s="16"/>
      <c r="C119" s="16"/>
      <c r="D119" s="15"/>
      <c r="E119" s="62"/>
      <c r="F119" s="15"/>
      <c r="H119" s="22"/>
    </row>
    <row r="120" spans="1:8" s="10" customFormat="1" ht="13" hidden="1" x14ac:dyDescent="0.35">
      <c r="A120" s="21" t="s">
        <v>236</v>
      </c>
      <c r="B120" s="14"/>
      <c r="C120" s="14"/>
      <c r="E120" s="61">
        <v>46087</v>
      </c>
      <c r="H120" s="21"/>
    </row>
    <row r="121" spans="1:8" ht="13" hidden="1" outlineLevel="1" x14ac:dyDescent="0.35">
      <c r="A121" s="20" t="s">
        <v>237</v>
      </c>
      <c r="B121" s="8" t="s">
        <v>238</v>
      </c>
      <c r="D121" s="7" t="s">
        <v>17</v>
      </c>
      <c r="E121" s="59">
        <f>$E$120</f>
        <v>46087</v>
      </c>
      <c r="F121" s="7" t="s">
        <v>27</v>
      </c>
    </row>
    <row r="122" spans="1:8" ht="13" hidden="1" outlineLevel="1" x14ac:dyDescent="0.35">
      <c r="A122" s="20" t="s">
        <v>239</v>
      </c>
      <c r="B122" s="8" t="s">
        <v>240</v>
      </c>
      <c r="D122" s="7" t="s">
        <v>17</v>
      </c>
      <c r="E122" s="59">
        <f t="shared" ref="E122:E158" si="5">$E$120</f>
        <v>46087</v>
      </c>
      <c r="F122" s="7" t="s">
        <v>79</v>
      </c>
    </row>
    <row r="123" spans="1:8" ht="13" hidden="1" outlineLevel="1" x14ac:dyDescent="0.35">
      <c r="A123" s="20" t="s">
        <v>241</v>
      </c>
      <c r="B123" s="8" t="s">
        <v>238</v>
      </c>
      <c r="D123" s="7" t="s">
        <v>17</v>
      </c>
      <c r="E123" s="59">
        <f t="shared" si="5"/>
        <v>46087</v>
      </c>
      <c r="F123" s="7" t="s">
        <v>79</v>
      </c>
    </row>
    <row r="124" spans="1:8" ht="13" hidden="1" outlineLevel="1" x14ac:dyDescent="0.35">
      <c r="A124" s="20" t="s">
        <v>242</v>
      </c>
      <c r="B124" s="8" t="s">
        <v>243</v>
      </c>
      <c r="D124" s="7" t="s">
        <v>17</v>
      </c>
      <c r="E124" s="59">
        <f t="shared" si="5"/>
        <v>46087</v>
      </c>
      <c r="F124" s="7" t="s">
        <v>37</v>
      </c>
    </row>
    <row r="125" spans="1:8" ht="13" hidden="1" outlineLevel="1" x14ac:dyDescent="0.35">
      <c r="A125" s="20" t="s">
        <v>244</v>
      </c>
      <c r="B125" s="8" t="s">
        <v>245</v>
      </c>
      <c r="D125" s="7" t="s">
        <v>17</v>
      </c>
      <c r="E125" s="59">
        <f t="shared" si="5"/>
        <v>46087</v>
      </c>
      <c r="F125" s="7" t="s">
        <v>30</v>
      </c>
    </row>
    <row r="126" spans="1:8" ht="26" hidden="1" outlineLevel="1" x14ac:dyDescent="0.35">
      <c r="A126" s="20" t="s">
        <v>246</v>
      </c>
      <c r="B126" s="8" t="s">
        <v>247</v>
      </c>
      <c r="D126" s="7" t="s">
        <v>248</v>
      </c>
      <c r="E126" s="59">
        <f t="shared" si="5"/>
        <v>46087</v>
      </c>
      <c r="F126" s="7" t="s">
        <v>48</v>
      </c>
      <c r="H126" s="20" t="s">
        <v>760</v>
      </c>
    </row>
    <row r="127" spans="1:8" ht="13" hidden="1" outlineLevel="1" x14ac:dyDescent="0.35">
      <c r="A127" s="20" t="s">
        <v>249</v>
      </c>
      <c r="B127" s="8" t="s">
        <v>250</v>
      </c>
      <c r="D127" s="7" t="s">
        <v>17</v>
      </c>
      <c r="E127" s="59">
        <f t="shared" si="5"/>
        <v>46087</v>
      </c>
      <c r="F127" s="7" t="s">
        <v>79</v>
      </c>
    </row>
    <row r="128" spans="1:8" ht="26" hidden="1" outlineLevel="1" x14ac:dyDescent="0.35">
      <c r="A128" s="20" t="s">
        <v>251</v>
      </c>
      <c r="B128" s="8" t="s">
        <v>252</v>
      </c>
      <c r="D128" s="7" t="s">
        <v>103</v>
      </c>
      <c r="E128" s="59">
        <f t="shared" si="5"/>
        <v>46087</v>
      </c>
      <c r="F128" s="7" t="s">
        <v>30</v>
      </c>
    </row>
    <row r="129" spans="1:8" ht="26" hidden="1" outlineLevel="1" x14ac:dyDescent="0.35">
      <c r="A129" s="20" t="s">
        <v>253</v>
      </c>
      <c r="B129" s="8" t="s">
        <v>254</v>
      </c>
      <c r="D129" s="7" t="s">
        <v>17</v>
      </c>
      <c r="E129" s="59">
        <f t="shared" si="5"/>
        <v>46087</v>
      </c>
      <c r="F129" s="7" t="s">
        <v>40</v>
      </c>
    </row>
    <row r="130" spans="1:8" ht="13" hidden="1" outlineLevel="1" x14ac:dyDescent="0.35">
      <c r="A130" s="20" t="s">
        <v>255</v>
      </c>
      <c r="B130" s="8" t="s">
        <v>256</v>
      </c>
      <c r="D130" s="7" t="s">
        <v>17</v>
      </c>
      <c r="E130" s="59">
        <f t="shared" si="5"/>
        <v>46087</v>
      </c>
      <c r="F130" s="7" t="s">
        <v>40</v>
      </c>
    </row>
    <row r="131" spans="1:8" ht="13" hidden="1" outlineLevel="1" x14ac:dyDescent="0.35">
      <c r="A131" s="20" t="s">
        <v>257</v>
      </c>
      <c r="B131" s="8" t="s">
        <v>258</v>
      </c>
      <c r="D131" s="7" t="s">
        <v>223</v>
      </c>
      <c r="E131" s="59">
        <f t="shared" si="5"/>
        <v>46087</v>
      </c>
      <c r="F131" s="7" t="s">
        <v>37</v>
      </c>
      <c r="H131" s="20" t="s">
        <v>259</v>
      </c>
    </row>
    <row r="132" spans="1:8" ht="13" hidden="1" outlineLevel="1" x14ac:dyDescent="0.35">
      <c r="A132" s="20" t="s">
        <v>260</v>
      </c>
      <c r="B132" s="8" t="s">
        <v>261</v>
      </c>
      <c r="D132" s="7" t="s">
        <v>17</v>
      </c>
      <c r="E132" s="59">
        <f t="shared" si="5"/>
        <v>46087</v>
      </c>
      <c r="F132" s="7" t="s">
        <v>21</v>
      </c>
      <c r="H132" s="20" t="s">
        <v>262</v>
      </c>
    </row>
    <row r="133" spans="1:8" ht="39" hidden="1" outlineLevel="1" x14ac:dyDescent="0.35">
      <c r="A133" s="20" t="s">
        <v>263</v>
      </c>
      <c r="B133" s="8" t="s">
        <v>264</v>
      </c>
      <c r="D133" s="7" t="s">
        <v>17</v>
      </c>
      <c r="E133" s="59">
        <f t="shared" si="5"/>
        <v>46087</v>
      </c>
      <c r="F133" s="7" t="s">
        <v>27</v>
      </c>
    </row>
    <row r="134" spans="1:8" ht="26" hidden="1" outlineLevel="1" x14ac:dyDescent="0.35">
      <c r="A134" s="20" t="s">
        <v>265</v>
      </c>
      <c r="B134" s="8" t="s">
        <v>266</v>
      </c>
      <c r="D134" s="7" t="s">
        <v>223</v>
      </c>
      <c r="E134" s="59">
        <f t="shared" si="5"/>
        <v>46087</v>
      </c>
      <c r="F134" s="7" t="s">
        <v>26</v>
      </c>
    </row>
    <row r="135" spans="1:8" ht="26" hidden="1" outlineLevel="1" x14ac:dyDescent="0.35">
      <c r="A135" s="20" t="s">
        <v>267</v>
      </c>
      <c r="B135" s="8" t="s">
        <v>268</v>
      </c>
      <c r="D135" s="7" t="s">
        <v>17</v>
      </c>
      <c r="E135" s="59">
        <f t="shared" si="5"/>
        <v>46087</v>
      </c>
      <c r="F135" s="7" t="s">
        <v>27</v>
      </c>
    </row>
    <row r="136" spans="1:8" ht="13" hidden="1" outlineLevel="1" x14ac:dyDescent="0.35">
      <c r="A136" s="20" t="s">
        <v>269</v>
      </c>
      <c r="B136" s="17" t="s">
        <v>270</v>
      </c>
      <c r="C136" s="17"/>
      <c r="D136" s="7" t="s">
        <v>17</v>
      </c>
      <c r="E136" s="59">
        <f t="shared" si="5"/>
        <v>46087</v>
      </c>
      <c r="F136" s="7" t="s">
        <v>57</v>
      </c>
    </row>
    <row r="137" spans="1:8" ht="26" hidden="1" outlineLevel="1" x14ac:dyDescent="0.35">
      <c r="A137" s="20" t="s">
        <v>271</v>
      </c>
      <c r="B137" s="8" t="s">
        <v>272</v>
      </c>
      <c r="D137" s="7" t="s">
        <v>17</v>
      </c>
      <c r="E137" s="59">
        <f t="shared" si="5"/>
        <v>46087</v>
      </c>
      <c r="F137" s="7" t="s">
        <v>40</v>
      </c>
    </row>
    <row r="138" spans="1:8" ht="13" hidden="1" outlineLevel="1" x14ac:dyDescent="0.35">
      <c r="A138" s="20" t="s">
        <v>167</v>
      </c>
      <c r="B138" s="8" t="s">
        <v>273</v>
      </c>
      <c r="D138" s="7" t="s">
        <v>17</v>
      </c>
      <c r="E138" s="59">
        <f t="shared" si="5"/>
        <v>46087</v>
      </c>
      <c r="F138" s="7" t="s">
        <v>21</v>
      </c>
    </row>
    <row r="139" spans="1:8" ht="13" hidden="1" outlineLevel="1" x14ac:dyDescent="0.35">
      <c r="A139" s="20" t="s">
        <v>274</v>
      </c>
      <c r="B139" s="8" t="s">
        <v>275</v>
      </c>
      <c r="D139" s="7" t="s">
        <v>17</v>
      </c>
      <c r="E139" s="59">
        <f t="shared" si="5"/>
        <v>46087</v>
      </c>
      <c r="F139" s="7" t="s">
        <v>30</v>
      </c>
    </row>
    <row r="140" spans="1:8" ht="26" hidden="1" outlineLevel="1" x14ac:dyDescent="0.35">
      <c r="A140" s="20" t="s">
        <v>276</v>
      </c>
      <c r="B140" s="8" t="s">
        <v>277</v>
      </c>
      <c r="D140" s="7" t="s">
        <v>17</v>
      </c>
      <c r="E140" s="59">
        <f t="shared" si="5"/>
        <v>46087</v>
      </c>
      <c r="F140" s="7" t="s">
        <v>30</v>
      </c>
    </row>
    <row r="141" spans="1:8" ht="26" hidden="1" outlineLevel="1" x14ac:dyDescent="0.35">
      <c r="A141" s="20" t="s">
        <v>278</v>
      </c>
      <c r="B141" s="8" t="s">
        <v>279</v>
      </c>
      <c r="D141" s="7" t="s">
        <v>17</v>
      </c>
      <c r="E141" s="59">
        <f t="shared" si="5"/>
        <v>46087</v>
      </c>
      <c r="F141" s="7" t="s">
        <v>65</v>
      </c>
    </row>
    <row r="142" spans="1:8" ht="26" hidden="1" outlineLevel="1" x14ac:dyDescent="0.35">
      <c r="A142" s="20" t="s">
        <v>280</v>
      </c>
      <c r="B142" s="8" t="s">
        <v>281</v>
      </c>
      <c r="D142" s="7" t="s">
        <v>223</v>
      </c>
      <c r="E142" s="59">
        <f t="shared" si="5"/>
        <v>46087</v>
      </c>
      <c r="F142" s="7" t="s">
        <v>30</v>
      </c>
    </row>
    <row r="143" spans="1:8" ht="13" hidden="1" outlineLevel="1" x14ac:dyDescent="0.35">
      <c r="A143" s="20" t="s">
        <v>282</v>
      </c>
      <c r="B143" s="8" t="s">
        <v>283</v>
      </c>
      <c r="D143" s="7" t="s">
        <v>17</v>
      </c>
      <c r="E143" s="59">
        <f t="shared" si="5"/>
        <v>46087</v>
      </c>
      <c r="F143" s="7" t="s">
        <v>26</v>
      </c>
    </row>
    <row r="144" spans="1:8" ht="13" hidden="1" outlineLevel="1" x14ac:dyDescent="0.35">
      <c r="A144" s="20" t="s">
        <v>284</v>
      </c>
      <c r="B144" s="8" t="s">
        <v>285</v>
      </c>
      <c r="D144" s="7" t="s">
        <v>17</v>
      </c>
      <c r="E144" s="59">
        <f t="shared" si="5"/>
        <v>46087</v>
      </c>
      <c r="F144" s="7" t="s">
        <v>26</v>
      </c>
    </row>
    <row r="145" spans="1:8" ht="26" hidden="1" outlineLevel="1" x14ac:dyDescent="0.35">
      <c r="A145" s="20" t="s">
        <v>286</v>
      </c>
      <c r="B145" s="8" t="s">
        <v>287</v>
      </c>
      <c r="D145" s="7" t="s">
        <v>248</v>
      </c>
      <c r="E145" s="59">
        <f t="shared" si="5"/>
        <v>46087</v>
      </c>
      <c r="F145" s="7" t="s">
        <v>65</v>
      </c>
    </row>
    <row r="146" spans="1:8" ht="26" hidden="1" outlineLevel="1" x14ac:dyDescent="0.35">
      <c r="A146" s="20" t="s">
        <v>288</v>
      </c>
      <c r="B146" s="8" t="s">
        <v>289</v>
      </c>
      <c r="D146" s="7" t="s">
        <v>17</v>
      </c>
      <c r="E146" s="59">
        <f t="shared" si="5"/>
        <v>46087</v>
      </c>
      <c r="F146" s="7" t="s">
        <v>57</v>
      </c>
    </row>
    <row r="147" spans="1:8" ht="13" hidden="1" outlineLevel="1" x14ac:dyDescent="0.35">
      <c r="A147" s="20" t="s">
        <v>290</v>
      </c>
      <c r="B147" s="8" t="s">
        <v>291</v>
      </c>
      <c r="D147" s="7" t="s">
        <v>17</v>
      </c>
      <c r="E147" s="59">
        <f t="shared" si="5"/>
        <v>46087</v>
      </c>
      <c r="F147" s="7" t="s">
        <v>40</v>
      </c>
    </row>
    <row r="148" spans="1:8" ht="26" hidden="1" outlineLevel="1" x14ac:dyDescent="0.35">
      <c r="A148" s="20" t="s">
        <v>219</v>
      </c>
      <c r="B148" s="8" t="s">
        <v>292</v>
      </c>
      <c r="D148" s="7" t="s">
        <v>17</v>
      </c>
      <c r="E148" s="59">
        <f t="shared" si="5"/>
        <v>46087</v>
      </c>
      <c r="F148" s="7" t="s">
        <v>18</v>
      </c>
    </row>
    <row r="149" spans="1:8" ht="26" hidden="1" outlineLevel="1" x14ac:dyDescent="0.35">
      <c r="A149" s="20" t="s">
        <v>293</v>
      </c>
      <c r="B149" s="8" t="s">
        <v>294</v>
      </c>
      <c r="D149" s="7" t="s">
        <v>17</v>
      </c>
      <c r="E149" s="59">
        <f t="shared" si="5"/>
        <v>46087</v>
      </c>
      <c r="F149" s="7" t="s">
        <v>40</v>
      </c>
      <c r="H149" s="20" t="s">
        <v>295</v>
      </c>
    </row>
    <row r="150" spans="1:8" ht="13" hidden="1" outlineLevel="1" x14ac:dyDescent="0.35">
      <c r="A150" s="20" t="s">
        <v>296</v>
      </c>
      <c r="D150" s="7" t="s">
        <v>17</v>
      </c>
      <c r="E150" s="59">
        <f t="shared" si="5"/>
        <v>46087</v>
      </c>
      <c r="F150" s="7" t="s">
        <v>79</v>
      </c>
    </row>
    <row r="151" spans="1:8" ht="13" hidden="1" outlineLevel="1" x14ac:dyDescent="0.35">
      <c r="A151" s="20" t="s">
        <v>297</v>
      </c>
      <c r="B151" s="8" t="s">
        <v>298</v>
      </c>
      <c r="D151" s="7" t="s">
        <v>17</v>
      </c>
      <c r="E151" s="59">
        <f t="shared" si="5"/>
        <v>46087</v>
      </c>
      <c r="F151" s="7" t="s">
        <v>18</v>
      </c>
    </row>
    <row r="152" spans="1:8" ht="13" hidden="1" outlineLevel="1" x14ac:dyDescent="0.35">
      <c r="A152" s="20" t="s">
        <v>299</v>
      </c>
      <c r="B152" s="8" t="s">
        <v>300</v>
      </c>
      <c r="D152" s="7" t="s">
        <v>17</v>
      </c>
      <c r="E152" s="59">
        <f t="shared" si="5"/>
        <v>46087</v>
      </c>
      <c r="F152" s="7" t="s">
        <v>40</v>
      </c>
    </row>
    <row r="153" spans="1:8" ht="13" hidden="1" outlineLevel="1" x14ac:dyDescent="0.35">
      <c r="A153" s="20" t="s">
        <v>301</v>
      </c>
      <c r="B153" s="8" t="s">
        <v>302</v>
      </c>
      <c r="D153" s="7" t="s">
        <v>17</v>
      </c>
      <c r="E153" s="59">
        <f t="shared" si="5"/>
        <v>46087</v>
      </c>
      <c r="F153" s="7" t="s">
        <v>79</v>
      </c>
    </row>
    <row r="154" spans="1:8" ht="13" hidden="1" outlineLevel="1" x14ac:dyDescent="0.35">
      <c r="A154" s="20" t="s">
        <v>303</v>
      </c>
      <c r="B154" s="8" t="s">
        <v>304</v>
      </c>
      <c r="D154" s="7" t="s">
        <v>17</v>
      </c>
      <c r="E154" s="59">
        <f t="shared" si="5"/>
        <v>46087</v>
      </c>
      <c r="F154" s="7" t="s">
        <v>79</v>
      </c>
    </row>
    <row r="155" spans="1:8" ht="13" hidden="1" outlineLevel="1" x14ac:dyDescent="0.35">
      <c r="A155" s="20" t="s">
        <v>303</v>
      </c>
      <c r="B155" s="8" t="s">
        <v>305</v>
      </c>
      <c r="D155" s="7" t="s">
        <v>17</v>
      </c>
      <c r="E155" s="59">
        <f t="shared" si="5"/>
        <v>46087</v>
      </c>
      <c r="F155" s="7" t="s">
        <v>79</v>
      </c>
    </row>
    <row r="156" spans="1:8" ht="13" hidden="1" outlineLevel="1" x14ac:dyDescent="0.35">
      <c r="A156" s="20" t="s">
        <v>306</v>
      </c>
      <c r="B156" s="8" t="s">
        <v>307</v>
      </c>
      <c r="D156" s="7" t="s">
        <v>17</v>
      </c>
      <c r="E156" s="59">
        <f t="shared" si="5"/>
        <v>46087</v>
      </c>
      <c r="F156" s="7" t="s">
        <v>79</v>
      </c>
    </row>
    <row r="157" spans="1:8" ht="13" hidden="1" outlineLevel="1" x14ac:dyDescent="0.35">
      <c r="A157" s="20" t="s">
        <v>303</v>
      </c>
      <c r="B157" s="8" t="s">
        <v>308</v>
      </c>
      <c r="D157" s="7" t="s">
        <v>17</v>
      </c>
      <c r="E157" s="59">
        <f t="shared" si="5"/>
        <v>46087</v>
      </c>
      <c r="F157" s="7" t="s">
        <v>79</v>
      </c>
    </row>
    <row r="158" spans="1:8" ht="26" hidden="1" outlineLevel="1" x14ac:dyDescent="0.35">
      <c r="A158" s="20" t="s">
        <v>309</v>
      </c>
      <c r="B158" s="8" t="s">
        <v>310</v>
      </c>
      <c r="D158" s="7" t="s">
        <v>17</v>
      </c>
      <c r="E158" s="59">
        <f t="shared" si="5"/>
        <v>46087</v>
      </c>
      <c r="F158" s="7" t="s">
        <v>65</v>
      </c>
    </row>
    <row r="159" spans="1:8" ht="13" hidden="1" outlineLevel="1" x14ac:dyDescent="0.35"/>
    <row r="160" spans="1:8" ht="13" hidden="1" collapsed="1" x14ac:dyDescent="0.35"/>
    <row r="161" spans="1:10" ht="13" hidden="1" x14ac:dyDescent="0.35">
      <c r="A161" s="21" t="s">
        <v>311</v>
      </c>
      <c r="B161" s="14"/>
      <c r="C161" s="14"/>
      <c r="D161" s="10"/>
      <c r="E161" s="61"/>
      <c r="F161" s="10"/>
      <c r="G161" s="10"/>
      <c r="H161" s="21"/>
      <c r="I161" s="10"/>
      <c r="J161" s="10"/>
    </row>
    <row r="162" spans="1:10" ht="26" hidden="1" outlineLevel="1" x14ac:dyDescent="0.35">
      <c r="A162" s="20" t="s">
        <v>312</v>
      </c>
      <c r="B162" s="8" t="s">
        <v>313</v>
      </c>
      <c r="C162" s="8" t="s">
        <v>314</v>
      </c>
      <c r="D162" s="7" t="s">
        <v>17</v>
      </c>
      <c r="E162" s="59">
        <v>46094</v>
      </c>
      <c r="F162" s="7" t="s">
        <v>21</v>
      </c>
      <c r="H162" s="20" t="s">
        <v>315</v>
      </c>
    </row>
    <row r="163" spans="1:10" ht="13" hidden="1" outlineLevel="1" x14ac:dyDescent="0.35">
      <c r="A163" s="20" t="s">
        <v>316</v>
      </c>
      <c r="B163" s="8" t="s">
        <v>317</v>
      </c>
      <c r="C163" s="8" t="s">
        <v>314</v>
      </c>
      <c r="D163" s="7" t="s">
        <v>17</v>
      </c>
      <c r="E163" s="59">
        <f>E162</f>
        <v>46094</v>
      </c>
      <c r="F163" s="7" t="s">
        <v>79</v>
      </c>
    </row>
    <row r="164" spans="1:10" ht="13" hidden="1" outlineLevel="1" x14ac:dyDescent="0.35">
      <c r="A164" s="20" t="s">
        <v>251</v>
      </c>
      <c r="B164" s="8" t="s">
        <v>318</v>
      </c>
      <c r="C164" s="8" t="s">
        <v>314</v>
      </c>
      <c r="D164" s="7" t="s">
        <v>17</v>
      </c>
      <c r="E164" s="59">
        <f t="shared" ref="E164:E200" si="6">E163</f>
        <v>46094</v>
      </c>
      <c r="F164" s="7" t="s">
        <v>30</v>
      </c>
    </row>
    <row r="165" spans="1:10" ht="13" hidden="1" outlineLevel="1" x14ac:dyDescent="0.35">
      <c r="A165" s="20" t="s">
        <v>253</v>
      </c>
      <c r="B165" s="8" t="s">
        <v>319</v>
      </c>
      <c r="C165" s="8" t="s">
        <v>314</v>
      </c>
      <c r="D165" s="7" t="s">
        <v>17</v>
      </c>
      <c r="E165" s="59">
        <f t="shared" si="6"/>
        <v>46094</v>
      </c>
      <c r="F165" s="7" t="s">
        <v>40</v>
      </c>
    </row>
    <row r="166" spans="1:10" ht="13" hidden="1" outlineLevel="1" x14ac:dyDescent="0.35">
      <c r="A166" s="20" t="s">
        <v>320</v>
      </c>
      <c r="B166" s="8" t="s">
        <v>321</v>
      </c>
      <c r="C166" s="8" t="s">
        <v>314</v>
      </c>
      <c r="D166" s="7" t="s">
        <v>17</v>
      </c>
      <c r="E166" s="59">
        <f t="shared" si="6"/>
        <v>46094</v>
      </c>
      <c r="F166" s="7" t="s">
        <v>57</v>
      </c>
    </row>
    <row r="167" spans="1:10" ht="13" hidden="1" outlineLevel="1" x14ac:dyDescent="0.35">
      <c r="A167" s="20" t="s">
        <v>322</v>
      </c>
      <c r="B167" s="8" t="s">
        <v>323</v>
      </c>
      <c r="C167" s="8" t="s">
        <v>314</v>
      </c>
      <c r="D167" s="7" t="s">
        <v>17</v>
      </c>
      <c r="E167" s="59">
        <f t="shared" si="6"/>
        <v>46094</v>
      </c>
      <c r="F167" s="7" t="s">
        <v>21</v>
      </c>
    </row>
    <row r="168" spans="1:10" ht="13" hidden="1" outlineLevel="1" x14ac:dyDescent="0.35">
      <c r="A168" s="20" t="s">
        <v>324</v>
      </c>
      <c r="B168" s="8" t="s">
        <v>325</v>
      </c>
      <c r="C168" s="8" t="s">
        <v>314</v>
      </c>
      <c r="D168" s="7" t="s">
        <v>223</v>
      </c>
      <c r="E168" s="59">
        <f t="shared" si="6"/>
        <v>46094</v>
      </c>
      <c r="F168" s="7" t="s">
        <v>21</v>
      </c>
    </row>
    <row r="169" spans="1:10" ht="26" hidden="1" outlineLevel="1" x14ac:dyDescent="0.35">
      <c r="A169" s="20" t="s">
        <v>35</v>
      </c>
      <c r="B169" s="8" t="s">
        <v>326</v>
      </c>
      <c r="C169" s="8" t="s">
        <v>314</v>
      </c>
      <c r="D169" s="7" t="s">
        <v>17</v>
      </c>
      <c r="E169" s="59">
        <f t="shared" si="6"/>
        <v>46094</v>
      </c>
      <c r="F169" s="7" t="s">
        <v>26</v>
      </c>
    </row>
    <row r="170" spans="1:10" ht="13" hidden="1" outlineLevel="1" x14ac:dyDescent="0.35">
      <c r="A170" s="20" t="s">
        <v>239</v>
      </c>
      <c r="B170" s="8" t="s">
        <v>327</v>
      </c>
      <c r="C170" s="8" t="s">
        <v>314</v>
      </c>
      <c r="D170" s="7" t="s">
        <v>17</v>
      </c>
      <c r="E170" s="59">
        <f t="shared" si="6"/>
        <v>46094</v>
      </c>
      <c r="F170" s="7" t="s">
        <v>21</v>
      </c>
    </row>
    <row r="171" spans="1:10" ht="39" hidden="1" outlineLevel="1" x14ac:dyDescent="0.35">
      <c r="A171" s="20" t="s">
        <v>328</v>
      </c>
      <c r="B171" s="8" t="s">
        <v>329</v>
      </c>
      <c r="C171" s="8" t="s">
        <v>314</v>
      </c>
      <c r="D171" s="7" t="s">
        <v>17</v>
      </c>
      <c r="E171" s="59">
        <f t="shared" si="6"/>
        <v>46094</v>
      </c>
      <c r="F171" s="7" t="s">
        <v>65</v>
      </c>
      <c r="G171" s="7" t="s">
        <v>48</v>
      </c>
      <c r="H171" s="20" t="s">
        <v>330</v>
      </c>
    </row>
    <row r="172" spans="1:10" ht="26" hidden="1" outlineLevel="1" x14ac:dyDescent="0.35">
      <c r="A172" s="20" t="s">
        <v>331</v>
      </c>
      <c r="B172" s="8" t="s">
        <v>332</v>
      </c>
      <c r="C172" s="8" t="s">
        <v>314</v>
      </c>
      <c r="D172" s="7" t="s">
        <v>17</v>
      </c>
      <c r="E172" s="59">
        <f t="shared" si="6"/>
        <v>46094</v>
      </c>
      <c r="F172" s="7" t="s">
        <v>40</v>
      </c>
    </row>
    <row r="173" spans="1:10" ht="26" hidden="1" outlineLevel="1" x14ac:dyDescent="0.35">
      <c r="A173" s="20" t="s">
        <v>333</v>
      </c>
      <c r="B173" s="8" t="s">
        <v>332</v>
      </c>
      <c r="C173" s="8" t="s">
        <v>314</v>
      </c>
      <c r="D173" s="7" t="s">
        <v>17</v>
      </c>
      <c r="E173" s="59">
        <f t="shared" si="6"/>
        <v>46094</v>
      </c>
      <c r="F173" s="7" t="s">
        <v>21</v>
      </c>
    </row>
    <row r="174" spans="1:10" ht="13" hidden="1" outlineLevel="1" x14ac:dyDescent="0.35">
      <c r="A174" s="20" t="s">
        <v>334</v>
      </c>
      <c r="B174" s="8" t="s">
        <v>335</v>
      </c>
      <c r="C174" s="8" t="s">
        <v>314</v>
      </c>
      <c r="D174" s="7" t="s">
        <v>17</v>
      </c>
      <c r="E174" s="59">
        <f t="shared" si="6"/>
        <v>46094</v>
      </c>
      <c r="F174" s="7" t="s">
        <v>40</v>
      </c>
      <c r="H174" s="20" t="s">
        <v>336</v>
      </c>
    </row>
    <row r="175" spans="1:10" ht="13" hidden="1" outlineLevel="1" x14ac:dyDescent="0.35">
      <c r="A175" s="20" t="s">
        <v>337</v>
      </c>
      <c r="B175" s="8" t="s">
        <v>338</v>
      </c>
      <c r="C175" s="8" t="s">
        <v>314</v>
      </c>
      <c r="D175" s="7" t="s">
        <v>17</v>
      </c>
      <c r="E175" s="59">
        <f t="shared" si="6"/>
        <v>46094</v>
      </c>
      <c r="F175" s="7" t="s">
        <v>21</v>
      </c>
    </row>
    <row r="176" spans="1:10" ht="26" hidden="1" outlineLevel="1" x14ac:dyDescent="0.35">
      <c r="A176" s="20" t="s">
        <v>339</v>
      </c>
      <c r="B176" s="8" t="s">
        <v>340</v>
      </c>
      <c r="C176" s="8" t="s">
        <v>314</v>
      </c>
      <c r="D176" s="7" t="s">
        <v>17</v>
      </c>
      <c r="E176" s="59">
        <f t="shared" si="6"/>
        <v>46094</v>
      </c>
      <c r="F176" s="7" t="s">
        <v>27</v>
      </c>
    </row>
    <row r="177" spans="1:8" ht="26" hidden="1" outlineLevel="1" x14ac:dyDescent="0.35">
      <c r="A177" s="20" t="s">
        <v>341</v>
      </c>
      <c r="B177" s="8" t="s">
        <v>342</v>
      </c>
      <c r="C177" s="8" t="s">
        <v>314</v>
      </c>
      <c r="D177" s="7" t="s">
        <v>17</v>
      </c>
      <c r="E177" s="59">
        <f t="shared" si="6"/>
        <v>46094</v>
      </c>
      <c r="F177" s="7" t="s">
        <v>57</v>
      </c>
    </row>
    <row r="178" spans="1:8" ht="26" hidden="1" outlineLevel="1" x14ac:dyDescent="0.35">
      <c r="A178" s="20" t="s">
        <v>343</v>
      </c>
      <c r="B178" s="8" t="s">
        <v>344</v>
      </c>
      <c r="C178" s="8" t="s">
        <v>314</v>
      </c>
      <c r="D178" s="7" t="s">
        <v>17</v>
      </c>
      <c r="E178" s="59">
        <f t="shared" si="6"/>
        <v>46094</v>
      </c>
      <c r="F178" s="7" t="s">
        <v>40</v>
      </c>
      <c r="H178" s="20" t="s">
        <v>336</v>
      </c>
    </row>
    <row r="179" spans="1:8" ht="13" hidden="1" outlineLevel="1" x14ac:dyDescent="0.35">
      <c r="A179" s="20" t="s">
        <v>345</v>
      </c>
      <c r="B179" s="8" t="s">
        <v>346</v>
      </c>
      <c r="C179" s="8" t="s">
        <v>314</v>
      </c>
      <c r="D179" s="7" t="s">
        <v>17</v>
      </c>
      <c r="E179" s="59">
        <f t="shared" si="6"/>
        <v>46094</v>
      </c>
      <c r="F179" s="7" t="s">
        <v>37</v>
      </c>
      <c r="G179" s="7" t="s">
        <v>18</v>
      </c>
    </row>
    <row r="180" spans="1:8" ht="26" hidden="1" outlineLevel="1" x14ac:dyDescent="0.35">
      <c r="A180" s="20" t="s">
        <v>347</v>
      </c>
      <c r="B180" s="8" t="s">
        <v>348</v>
      </c>
      <c r="C180" s="8" t="s">
        <v>314</v>
      </c>
      <c r="D180" s="7" t="s">
        <v>17</v>
      </c>
      <c r="E180" s="59">
        <f t="shared" si="6"/>
        <v>46094</v>
      </c>
      <c r="F180" s="7" t="s">
        <v>26</v>
      </c>
    </row>
    <row r="181" spans="1:8" ht="26" hidden="1" outlineLevel="1" x14ac:dyDescent="0.35">
      <c r="A181" s="20" t="s">
        <v>349</v>
      </c>
      <c r="B181" s="8" t="s">
        <v>350</v>
      </c>
      <c r="C181" s="8" t="s">
        <v>314</v>
      </c>
      <c r="D181" s="7" t="s">
        <v>17</v>
      </c>
      <c r="E181" s="59">
        <f t="shared" si="6"/>
        <v>46094</v>
      </c>
      <c r="F181" s="7" t="s">
        <v>48</v>
      </c>
    </row>
    <row r="182" spans="1:8" ht="13" hidden="1" outlineLevel="1" x14ac:dyDescent="0.35">
      <c r="A182" s="20" t="s">
        <v>351</v>
      </c>
      <c r="B182" s="8" t="s">
        <v>352</v>
      </c>
      <c r="C182" s="8" t="s">
        <v>314</v>
      </c>
      <c r="D182" s="7" t="s">
        <v>17</v>
      </c>
      <c r="E182" s="59">
        <f t="shared" si="6"/>
        <v>46094</v>
      </c>
      <c r="F182" s="7" t="s">
        <v>37</v>
      </c>
    </row>
    <row r="183" spans="1:8" ht="26" hidden="1" outlineLevel="1" x14ac:dyDescent="0.35">
      <c r="A183" s="20" t="s">
        <v>353</v>
      </c>
      <c r="B183" s="8" t="s">
        <v>354</v>
      </c>
      <c r="C183" s="8" t="s">
        <v>314</v>
      </c>
      <c r="D183" s="7" t="s">
        <v>103</v>
      </c>
      <c r="E183" s="59">
        <f t="shared" si="6"/>
        <v>46094</v>
      </c>
      <c r="F183" s="7" t="s">
        <v>65</v>
      </c>
    </row>
    <row r="184" spans="1:8" ht="26" hidden="1" outlineLevel="1" x14ac:dyDescent="0.35">
      <c r="A184" s="20" t="s">
        <v>355</v>
      </c>
      <c r="B184" s="8" t="s">
        <v>356</v>
      </c>
      <c r="C184" s="8" t="s">
        <v>357</v>
      </c>
      <c r="D184" s="7" t="s">
        <v>223</v>
      </c>
      <c r="E184" s="59">
        <f t="shared" si="6"/>
        <v>46094</v>
      </c>
      <c r="F184" s="7" t="s">
        <v>65</v>
      </c>
    </row>
    <row r="185" spans="1:8" ht="13" hidden="1" outlineLevel="1" x14ac:dyDescent="0.35">
      <c r="A185" s="20" t="s">
        <v>358</v>
      </c>
      <c r="B185" s="8" t="s">
        <v>359</v>
      </c>
      <c r="C185" s="8" t="s">
        <v>357</v>
      </c>
      <c r="D185" s="7" t="s">
        <v>17</v>
      </c>
      <c r="E185" s="59">
        <f t="shared" si="6"/>
        <v>46094</v>
      </c>
      <c r="F185" s="7" t="s">
        <v>57</v>
      </c>
      <c r="H185" s="20" t="s">
        <v>360</v>
      </c>
    </row>
    <row r="186" spans="1:8" ht="13" hidden="1" outlineLevel="1" x14ac:dyDescent="0.35">
      <c r="A186" s="20" t="s">
        <v>361</v>
      </c>
      <c r="B186" s="8" t="s">
        <v>362</v>
      </c>
      <c r="C186" s="8" t="s">
        <v>363</v>
      </c>
      <c r="D186" s="7" t="s">
        <v>17</v>
      </c>
      <c r="E186" s="59">
        <f t="shared" si="6"/>
        <v>46094</v>
      </c>
      <c r="F186" s="7" t="s">
        <v>40</v>
      </c>
      <c r="H186" s="20" t="s">
        <v>336</v>
      </c>
    </row>
    <row r="187" spans="1:8" ht="13" hidden="1" outlineLevel="1" x14ac:dyDescent="0.35">
      <c r="A187" s="20" t="s">
        <v>361</v>
      </c>
      <c r="B187" s="8" t="s">
        <v>364</v>
      </c>
      <c r="C187" s="8" t="s">
        <v>363</v>
      </c>
      <c r="D187" s="7" t="s">
        <v>17</v>
      </c>
      <c r="E187" s="59">
        <f t="shared" si="6"/>
        <v>46094</v>
      </c>
      <c r="F187" s="7" t="s">
        <v>18</v>
      </c>
      <c r="G187" s="7" t="s">
        <v>40</v>
      </c>
    </row>
    <row r="188" spans="1:8" ht="13" hidden="1" outlineLevel="1" x14ac:dyDescent="0.35">
      <c r="A188" s="20" t="s">
        <v>365</v>
      </c>
      <c r="B188" s="8" t="s">
        <v>366</v>
      </c>
      <c r="C188" s="8" t="s">
        <v>363</v>
      </c>
      <c r="D188" s="7" t="s">
        <v>17</v>
      </c>
      <c r="E188" s="59">
        <f t="shared" si="6"/>
        <v>46094</v>
      </c>
      <c r="F188" s="7" t="s">
        <v>18</v>
      </c>
    </row>
    <row r="189" spans="1:8" ht="13" hidden="1" outlineLevel="1" x14ac:dyDescent="0.35">
      <c r="A189" s="20" t="s">
        <v>55</v>
      </c>
      <c r="B189" s="8" t="s">
        <v>367</v>
      </c>
      <c r="C189" s="8" t="s">
        <v>363</v>
      </c>
      <c r="D189" s="7" t="s">
        <v>17</v>
      </c>
      <c r="E189" s="59">
        <f t="shared" si="6"/>
        <v>46094</v>
      </c>
      <c r="F189" s="7" t="s">
        <v>57</v>
      </c>
    </row>
    <row r="190" spans="1:8" ht="13" hidden="1" outlineLevel="1" x14ac:dyDescent="0.35">
      <c r="A190" s="20" t="s">
        <v>368</v>
      </c>
      <c r="B190" s="8" t="s">
        <v>369</v>
      </c>
      <c r="D190" s="7" t="s">
        <v>17</v>
      </c>
      <c r="E190" s="59">
        <f t="shared" si="6"/>
        <v>46094</v>
      </c>
      <c r="F190" s="7" t="s">
        <v>37</v>
      </c>
    </row>
    <row r="191" spans="1:8" ht="39" hidden="1" outlineLevel="1" x14ac:dyDescent="0.35">
      <c r="A191" s="20" t="s">
        <v>244</v>
      </c>
      <c r="B191" s="8" t="s">
        <v>370</v>
      </c>
      <c r="C191" s="8" t="s">
        <v>363</v>
      </c>
      <c r="D191" s="7" t="s">
        <v>17</v>
      </c>
      <c r="E191" s="59">
        <f t="shared" si="6"/>
        <v>46094</v>
      </c>
      <c r="F191" s="7" t="s">
        <v>30</v>
      </c>
    </row>
    <row r="192" spans="1:8" ht="13" hidden="1" outlineLevel="1" x14ac:dyDescent="0.35">
      <c r="A192" s="20" t="s">
        <v>371</v>
      </c>
      <c r="B192" s="8" t="s">
        <v>372</v>
      </c>
      <c r="C192" s="8" t="s">
        <v>363</v>
      </c>
      <c r="D192" s="7" t="s">
        <v>17</v>
      </c>
      <c r="E192" s="59">
        <f t="shared" si="6"/>
        <v>46094</v>
      </c>
      <c r="F192" s="7" t="s">
        <v>18</v>
      </c>
    </row>
    <row r="193" spans="1:10" ht="13" hidden="1" outlineLevel="1" x14ac:dyDescent="0.35">
      <c r="A193" s="20" t="s">
        <v>373</v>
      </c>
      <c r="B193" s="8" t="s">
        <v>374</v>
      </c>
      <c r="C193" s="8" t="s">
        <v>363</v>
      </c>
      <c r="D193" s="7" t="s">
        <v>17</v>
      </c>
      <c r="E193" s="59">
        <f t="shared" si="6"/>
        <v>46094</v>
      </c>
      <c r="F193" s="7" t="s">
        <v>27</v>
      </c>
    </row>
    <row r="194" spans="1:10" ht="13" hidden="1" outlineLevel="1" x14ac:dyDescent="0.35">
      <c r="A194" s="20" t="s">
        <v>375</v>
      </c>
      <c r="B194" s="8" t="s">
        <v>376</v>
      </c>
      <c r="C194" s="8" t="s">
        <v>363</v>
      </c>
      <c r="D194" s="7" t="s">
        <v>17</v>
      </c>
      <c r="E194" s="59">
        <f t="shared" si="6"/>
        <v>46094</v>
      </c>
      <c r="F194" s="7" t="s">
        <v>37</v>
      </c>
    </row>
    <row r="195" spans="1:10" ht="13" hidden="1" outlineLevel="1" x14ac:dyDescent="0.35">
      <c r="A195" s="20" t="s">
        <v>361</v>
      </c>
      <c r="B195" s="8" t="s">
        <v>377</v>
      </c>
      <c r="C195" s="8" t="s">
        <v>363</v>
      </c>
      <c r="D195" s="7" t="s">
        <v>17</v>
      </c>
      <c r="E195" s="59">
        <f>E194</f>
        <v>46094</v>
      </c>
      <c r="F195" s="7" t="s">
        <v>40</v>
      </c>
    </row>
    <row r="196" spans="1:10" ht="13" hidden="1" outlineLevel="1" x14ac:dyDescent="0.35">
      <c r="A196" s="20" t="s">
        <v>378</v>
      </c>
      <c r="B196" s="8" t="s">
        <v>379</v>
      </c>
      <c r="C196" s="8" t="s">
        <v>363</v>
      </c>
      <c r="D196" s="7" t="s">
        <v>17</v>
      </c>
      <c r="E196" s="59">
        <f>E195</f>
        <v>46094</v>
      </c>
      <c r="F196" s="7" t="s">
        <v>18</v>
      </c>
      <c r="H196" s="20" t="s">
        <v>380</v>
      </c>
    </row>
    <row r="197" spans="1:10" ht="13" hidden="1" outlineLevel="1" x14ac:dyDescent="0.35">
      <c r="A197" s="20" t="s">
        <v>381</v>
      </c>
      <c r="B197" s="8" t="s">
        <v>382</v>
      </c>
      <c r="C197" s="8" t="s">
        <v>363</v>
      </c>
      <c r="D197" s="7" t="s">
        <v>17</v>
      </c>
      <c r="E197" s="59">
        <f t="shared" si="6"/>
        <v>46094</v>
      </c>
      <c r="F197" s="7" t="s">
        <v>18</v>
      </c>
    </row>
    <row r="198" spans="1:10" ht="39" hidden="1" outlineLevel="1" x14ac:dyDescent="0.35">
      <c r="A198" s="20" t="s">
        <v>383</v>
      </c>
      <c r="B198" s="8" t="s">
        <v>384</v>
      </c>
      <c r="C198" s="8" t="s">
        <v>363</v>
      </c>
      <c r="D198" s="7" t="s">
        <v>17</v>
      </c>
      <c r="E198" s="59">
        <f t="shared" si="6"/>
        <v>46094</v>
      </c>
      <c r="F198" s="7" t="s">
        <v>57</v>
      </c>
    </row>
    <row r="199" spans="1:10" ht="91" hidden="1" outlineLevel="1" x14ac:dyDescent="0.35">
      <c r="A199" s="20" t="s">
        <v>385</v>
      </c>
      <c r="B199" s="8" t="s">
        <v>386</v>
      </c>
      <c r="C199" s="8" t="s">
        <v>387</v>
      </c>
      <c r="D199" s="7" t="s">
        <v>17</v>
      </c>
      <c r="E199" s="59">
        <f t="shared" si="6"/>
        <v>46094</v>
      </c>
      <c r="F199" s="7" t="s">
        <v>65</v>
      </c>
    </row>
    <row r="200" spans="1:10" ht="26" hidden="1" outlineLevel="1" x14ac:dyDescent="0.35">
      <c r="A200" s="20" t="s">
        <v>388</v>
      </c>
      <c r="B200" s="8" t="s">
        <v>389</v>
      </c>
      <c r="C200" s="8" t="s">
        <v>363</v>
      </c>
      <c r="D200" s="7" t="s">
        <v>17</v>
      </c>
      <c r="E200" s="59">
        <f t="shared" si="6"/>
        <v>46094</v>
      </c>
      <c r="F200" s="7" t="s">
        <v>40</v>
      </c>
    </row>
    <row r="201" spans="1:10" ht="13" hidden="1" outlineLevel="1" x14ac:dyDescent="0.35"/>
    <row r="202" spans="1:10" ht="27.65" hidden="1" customHeight="1" collapsed="1" x14ac:dyDescent="0.35"/>
    <row r="203" spans="1:10" ht="13" hidden="1" x14ac:dyDescent="0.35"/>
    <row r="204" spans="1:10" ht="13" hidden="1" x14ac:dyDescent="0.35">
      <c r="A204" s="21" t="s">
        <v>390</v>
      </c>
      <c r="B204" s="14"/>
      <c r="C204" s="14"/>
      <c r="D204" s="10"/>
      <c r="E204" s="61">
        <v>46100</v>
      </c>
      <c r="F204" s="10"/>
      <c r="G204" s="10"/>
      <c r="H204" s="21"/>
      <c r="I204" s="10"/>
      <c r="J204" s="10"/>
    </row>
    <row r="205" spans="1:10" ht="13" hidden="1" outlineLevel="1" x14ac:dyDescent="0.35">
      <c r="A205" s="20" t="s">
        <v>391</v>
      </c>
      <c r="B205" s="8" t="s">
        <v>392</v>
      </c>
      <c r="C205" s="8" t="s">
        <v>314</v>
      </c>
      <c r="D205" s="7" t="s">
        <v>17</v>
      </c>
      <c r="E205" s="59">
        <f>$E$204</f>
        <v>46100</v>
      </c>
      <c r="F205" s="7" t="s">
        <v>48</v>
      </c>
    </row>
    <row r="206" spans="1:10" ht="13" hidden="1" outlineLevel="1" x14ac:dyDescent="0.35">
      <c r="A206" s="20" t="s">
        <v>393</v>
      </c>
      <c r="B206" s="8" t="s">
        <v>394</v>
      </c>
      <c r="C206" s="8" t="s">
        <v>314</v>
      </c>
      <c r="D206" s="7" t="s">
        <v>17</v>
      </c>
      <c r="E206" s="59">
        <f t="shared" ref="E206:E230" si="7">$E$204</f>
        <v>46100</v>
      </c>
      <c r="F206" s="7" t="s">
        <v>48</v>
      </c>
    </row>
    <row r="207" spans="1:10" ht="13" hidden="1" outlineLevel="1" x14ac:dyDescent="0.35">
      <c r="A207" s="20" t="s">
        <v>395</v>
      </c>
      <c r="B207" s="8" t="s">
        <v>396</v>
      </c>
      <c r="C207" s="8" t="s">
        <v>314</v>
      </c>
      <c r="D207" s="7" t="s">
        <v>17</v>
      </c>
      <c r="E207" s="59">
        <f t="shared" si="7"/>
        <v>46100</v>
      </c>
      <c r="F207" s="7" t="s">
        <v>30</v>
      </c>
    </row>
    <row r="208" spans="1:10" ht="13" hidden="1" outlineLevel="1" x14ac:dyDescent="0.35">
      <c r="A208" s="20" t="s">
        <v>397</v>
      </c>
      <c r="B208" s="8" t="s">
        <v>398</v>
      </c>
      <c r="C208" s="8" t="s">
        <v>314</v>
      </c>
      <c r="D208" s="7" t="s">
        <v>17</v>
      </c>
      <c r="E208" s="59">
        <f t="shared" si="7"/>
        <v>46100</v>
      </c>
      <c r="F208" s="7" t="s">
        <v>79</v>
      </c>
    </row>
    <row r="209" spans="1:8" ht="13" hidden="1" outlineLevel="1" x14ac:dyDescent="0.35">
      <c r="A209" s="20" t="s">
        <v>399</v>
      </c>
      <c r="B209" s="8" t="s">
        <v>400</v>
      </c>
      <c r="C209" s="8" t="s">
        <v>314</v>
      </c>
      <c r="D209" s="7" t="s">
        <v>17</v>
      </c>
      <c r="E209" s="59">
        <f t="shared" si="7"/>
        <v>46100</v>
      </c>
      <c r="F209" s="7" t="s">
        <v>26</v>
      </c>
    </row>
    <row r="210" spans="1:8" ht="13" hidden="1" outlineLevel="1" x14ac:dyDescent="0.35">
      <c r="A210" s="20" t="s">
        <v>401</v>
      </c>
      <c r="B210" s="8" t="s">
        <v>402</v>
      </c>
      <c r="C210" s="8" t="s">
        <v>314</v>
      </c>
      <c r="D210" s="7" t="s">
        <v>17</v>
      </c>
      <c r="E210" s="59">
        <f t="shared" si="7"/>
        <v>46100</v>
      </c>
      <c r="F210" s="7" t="s">
        <v>57</v>
      </c>
    </row>
    <row r="211" spans="1:8" ht="13" hidden="1" outlineLevel="1" x14ac:dyDescent="0.35">
      <c r="A211" s="20" t="s">
        <v>91</v>
      </c>
      <c r="B211" s="8" t="s">
        <v>403</v>
      </c>
      <c r="C211" s="8" t="s">
        <v>314</v>
      </c>
      <c r="D211" s="7" t="s">
        <v>17</v>
      </c>
      <c r="E211" s="59">
        <f t="shared" si="7"/>
        <v>46100</v>
      </c>
      <c r="F211" s="7" t="s">
        <v>48</v>
      </c>
    </row>
    <row r="212" spans="1:8" ht="13" hidden="1" outlineLevel="1" x14ac:dyDescent="0.35">
      <c r="A212" s="20" t="s">
        <v>255</v>
      </c>
      <c r="B212" s="8" t="s">
        <v>404</v>
      </c>
      <c r="C212" s="8" t="s">
        <v>314</v>
      </c>
      <c r="D212" s="7" t="s">
        <v>17</v>
      </c>
      <c r="E212" s="59">
        <f t="shared" si="7"/>
        <v>46100</v>
      </c>
      <c r="F212" s="7" t="s">
        <v>40</v>
      </c>
    </row>
    <row r="213" spans="1:8" ht="13" hidden="1" outlineLevel="1" x14ac:dyDescent="0.35">
      <c r="A213" s="20" t="s">
        <v>405</v>
      </c>
      <c r="B213" s="8" t="s">
        <v>406</v>
      </c>
      <c r="C213" s="8" t="s">
        <v>314</v>
      </c>
      <c r="D213" s="7" t="s">
        <v>223</v>
      </c>
      <c r="E213" s="59">
        <f t="shared" si="7"/>
        <v>46100</v>
      </c>
      <c r="F213" s="7" t="s">
        <v>27</v>
      </c>
    </row>
    <row r="214" spans="1:8" ht="13" hidden="1" outlineLevel="1" x14ac:dyDescent="0.35">
      <c r="A214" s="20" t="s">
        <v>333</v>
      </c>
      <c r="B214" s="8" t="s">
        <v>407</v>
      </c>
      <c r="C214" s="8" t="s">
        <v>314</v>
      </c>
      <c r="D214" s="7" t="s">
        <v>17</v>
      </c>
      <c r="E214" s="59">
        <f t="shared" si="7"/>
        <v>46100</v>
      </c>
      <c r="F214" s="7" t="s">
        <v>21</v>
      </c>
    </row>
    <row r="215" spans="1:8" ht="13" hidden="1" outlineLevel="1" x14ac:dyDescent="0.35">
      <c r="A215" s="20" t="s">
        <v>408</v>
      </c>
      <c r="B215" s="8" t="s">
        <v>409</v>
      </c>
      <c r="C215" s="8" t="s">
        <v>314</v>
      </c>
      <c r="D215" s="7" t="s">
        <v>17</v>
      </c>
      <c r="E215" s="59">
        <f t="shared" si="7"/>
        <v>46100</v>
      </c>
      <c r="F215" s="7" t="s">
        <v>27</v>
      </c>
    </row>
    <row r="216" spans="1:8" ht="13" hidden="1" outlineLevel="1" x14ac:dyDescent="0.35">
      <c r="A216" s="20" t="s">
        <v>35</v>
      </c>
      <c r="B216" s="8" t="s">
        <v>409</v>
      </c>
      <c r="C216" s="8" t="s">
        <v>314</v>
      </c>
      <c r="D216" s="7" t="s">
        <v>223</v>
      </c>
      <c r="E216" s="59">
        <f t="shared" si="7"/>
        <v>46100</v>
      </c>
      <c r="F216" s="7" t="s">
        <v>26</v>
      </c>
    </row>
    <row r="217" spans="1:8" ht="26" hidden="1" outlineLevel="1" x14ac:dyDescent="0.35">
      <c r="A217" s="20" t="s">
        <v>265</v>
      </c>
      <c r="B217" s="8" t="s">
        <v>410</v>
      </c>
      <c r="C217" s="8" t="s">
        <v>314</v>
      </c>
      <c r="D217" s="7" t="s">
        <v>223</v>
      </c>
      <c r="E217" s="59">
        <f t="shared" si="7"/>
        <v>46100</v>
      </c>
      <c r="F217" s="7" t="s">
        <v>26</v>
      </c>
    </row>
    <row r="218" spans="1:8" ht="13" hidden="1" outlineLevel="1" x14ac:dyDescent="0.35">
      <c r="A218" s="20" t="s">
        <v>411</v>
      </c>
      <c r="B218" s="8" t="s">
        <v>412</v>
      </c>
      <c r="C218" s="8" t="s">
        <v>314</v>
      </c>
      <c r="D218" s="7" t="s">
        <v>17</v>
      </c>
      <c r="E218" s="59">
        <f t="shared" si="7"/>
        <v>46100</v>
      </c>
      <c r="F218" s="7" t="s">
        <v>48</v>
      </c>
    </row>
    <row r="219" spans="1:8" ht="13" hidden="1" outlineLevel="1" x14ac:dyDescent="0.35">
      <c r="A219" s="20" t="s">
        <v>413</v>
      </c>
      <c r="B219" s="8" t="s">
        <v>414</v>
      </c>
      <c r="C219" s="8" t="s">
        <v>314</v>
      </c>
      <c r="D219" s="7" t="s">
        <v>17</v>
      </c>
      <c r="E219" s="59">
        <f t="shared" si="7"/>
        <v>46100</v>
      </c>
      <c r="F219" s="7" t="s">
        <v>30</v>
      </c>
      <c r="G219" s="7" t="s">
        <v>18</v>
      </c>
    </row>
    <row r="220" spans="1:8" ht="26" hidden="1" outlineLevel="1" x14ac:dyDescent="0.35">
      <c r="A220" s="20" t="s">
        <v>415</v>
      </c>
      <c r="B220" s="8" t="s">
        <v>416</v>
      </c>
      <c r="C220" s="8" t="s">
        <v>314</v>
      </c>
      <c r="D220" s="7" t="s">
        <v>17</v>
      </c>
      <c r="E220" s="59">
        <f t="shared" si="7"/>
        <v>46100</v>
      </c>
      <c r="F220" s="7" t="s">
        <v>48</v>
      </c>
      <c r="H220" s="20" t="s">
        <v>417</v>
      </c>
    </row>
    <row r="221" spans="1:8" ht="26" hidden="1" outlineLevel="1" x14ac:dyDescent="0.35">
      <c r="A221" s="20" t="s">
        <v>418</v>
      </c>
      <c r="B221" s="8" t="s">
        <v>419</v>
      </c>
      <c r="C221" s="8" t="s">
        <v>314</v>
      </c>
      <c r="D221" s="7" t="s">
        <v>17</v>
      </c>
      <c r="E221" s="59">
        <f t="shared" si="7"/>
        <v>46100</v>
      </c>
      <c r="F221" s="7" t="s">
        <v>27</v>
      </c>
    </row>
    <row r="222" spans="1:8" ht="13" hidden="1" outlineLevel="1" x14ac:dyDescent="0.35">
      <c r="A222" s="20" t="s">
        <v>420</v>
      </c>
      <c r="B222" s="8" t="s">
        <v>421</v>
      </c>
      <c r="C222" s="8" t="s">
        <v>314</v>
      </c>
      <c r="D222" s="7" t="s">
        <v>17</v>
      </c>
      <c r="E222" s="59">
        <f t="shared" si="7"/>
        <v>46100</v>
      </c>
      <c r="F222" s="7" t="s">
        <v>79</v>
      </c>
    </row>
    <row r="223" spans="1:8" ht="13" hidden="1" outlineLevel="1" x14ac:dyDescent="0.35">
      <c r="A223" s="20" t="s">
        <v>280</v>
      </c>
      <c r="B223" s="8" t="s">
        <v>422</v>
      </c>
      <c r="C223" s="8" t="s">
        <v>314</v>
      </c>
      <c r="D223" s="7" t="s">
        <v>103</v>
      </c>
      <c r="E223" s="59">
        <f t="shared" si="7"/>
        <v>46100</v>
      </c>
      <c r="F223" s="7" t="s">
        <v>30</v>
      </c>
    </row>
    <row r="224" spans="1:8" ht="13" hidden="1" outlineLevel="1" x14ac:dyDescent="0.35">
      <c r="A224" s="20" t="s">
        <v>423</v>
      </c>
      <c r="B224" s="8" t="s">
        <v>424</v>
      </c>
      <c r="C224" s="8" t="s">
        <v>314</v>
      </c>
      <c r="D224" s="7" t="s">
        <v>17</v>
      </c>
      <c r="E224" s="59">
        <f t="shared" si="7"/>
        <v>46100</v>
      </c>
      <c r="F224" s="7" t="s">
        <v>27</v>
      </c>
    </row>
    <row r="225" spans="1:10" ht="13" hidden="1" outlineLevel="1" x14ac:dyDescent="0.35">
      <c r="A225" s="20" t="s">
        <v>425</v>
      </c>
      <c r="B225" s="8" t="s">
        <v>426</v>
      </c>
      <c r="C225" s="8" t="s">
        <v>314</v>
      </c>
      <c r="D225" s="7" t="s">
        <v>17</v>
      </c>
      <c r="E225" s="59">
        <f t="shared" si="7"/>
        <v>46100</v>
      </c>
      <c r="F225" s="7" t="s">
        <v>21</v>
      </c>
    </row>
    <row r="226" spans="1:10" ht="39" hidden="1" outlineLevel="1" x14ac:dyDescent="0.35">
      <c r="A226" s="20" t="s">
        <v>427</v>
      </c>
      <c r="B226" s="8" t="s">
        <v>428</v>
      </c>
      <c r="C226" s="8" t="s">
        <v>314</v>
      </c>
      <c r="D226" s="7" t="s">
        <v>17</v>
      </c>
      <c r="E226" s="59">
        <f t="shared" si="7"/>
        <v>46100</v>
      </c>
      <c r="F226" s="7" t="s">
        <v>27</v>
      </c>
    </row>
    <row r="227" spans="1:10" ht="13" hidden="1" outlineLevel="1" x14ac:dyDescent="0.35">
      <c r="A227" s="20" t="s">
        <v>429</v>
      </c>
      <c r="B227" s="8" t="s">
        <v>430</v>
      </c>
      <c r="C227" s="8" t="s">
        <v>314</v>
      </c>
      <c r="D227" s="7" t="s">
        <v>17</v>
      </c>
      <c r="E227" s="59">
        <f t="shared" si="7"/>
        <v>46100</v>
      </c>
      <c r="F227" s="7" t="s">
        <v>27</v>
      </c>
    </row>
    <row r="228" spans="1:10" ht="26" hidden="1" outlineLevel="1" x14ac:dyDescent="0.35">
      <c r="A228" s="20" t="s">
        <v>431</v>
      </c>
      <c r="B228" s="8" t="s">
        <v>432</v>
      </c>
      <c r="C228" s="8" t="s">
        <v>314</v>
      </c>
      <c r="D228" s="7" t="s">
        <v>103</v>
      </c>
      <c r="E228" s="59">
        <f t="shared" si="7"/>
        <v>46100</v>
      </c>
      <c r="F228" s="7" t="s">
        <v>30</v>
      </c>
    </row>
    <row r="229" spans="1:10" ht="13" hidden="1" outlineLevel="1" x14ac:dyDescent="0.35">
      <c r="A229" s="20" t="s">
        <v>334</v>
      </c>
      <c r="B229" s="8" t="s">
        <v>433</v>
      </c>
      <c r="C229" s="8" t="s">
        <v>314</v>
      </c>
      <c r="D229" s="7" t="s">
        <v>17</v>
      </c>
      <c r="E229" s="59">
        <f t="shared" si="7"/>
        <v>46100</v>
      </c>
      <c r="F229" s="7" t="s">
        <v>40</v>
      </c>
    </row>
    <row r="230" spans="1:10" ht="13" hidden="1" outlineLevel="1" x14ac:dyDescent="0.35">
      <c r="A230" s="20" t="s">
        <v>434</v>
      </c>
      <c r="B230" s="8" t="s">
        <v>435</v>
      </c>
      <c r="C230" s="8" t="s">
        <v>314</v>
      </c>
      <c r="D230" s="7" t="s">
        <v>17</v>
      </c>
      <c r="E230" s="59">
        <f t="shared" si="7"/>
        <v>46100</v>
      </c>
      <c r="F230" s="7" t="s">
        <v>65</v>
      </c>
      <c r="G230" s="7" t="s">
        <v>26</v>
      </c>
    </row>
    <row r="231" spans="1:10" ht="26" hidden="1" outlineLevel="1" x14ac:dyDescent="0.35">
      <c r="A231" s="20" t="s">
        <v>436</v>
      </c>
      <c r="B231" s="8" t="s">
        <v>437</v>
      </c>
      <c r="C231" s="8" t="s">
        <v>363</v>
      </c>
      <c r="D231" s="7" t="s">
        <v>17</v>
      </c>
      <c r="E231" s="59">
        <f t="shared" ref="E231" si="8">E230</f>
        <v>46100</v>
      </c>
      <c r="F231" s="7" t="s">
        <v>48</v>
      </c>
      <c r="G231" s="7" t="s">
        <v>438</v>
      </c>
    </row>
    <row r="232" spans="1:10" ht="13" hidden="1" outlineLevel="1" x14ac:dyDescent="0.35"/>
    <row r="233" spans="1:10" ht="13" hidden="1" collapsed="1" x14ac:dyDescent="0.35"/>
    <row r="234" spans="1:10" ht="13" hidden="1" x14ac:dyDescent="0.35"/>
    <row r="235" spans="1:10" ht="13" hidden="1" x14ac:dyDescent="0.35">
      <c r="A235" s="21" t="s">
        <v>439</v>
      </c>
      <c r="B235" s="14"/>
      <c r="C235" s="14"/>
      <c r="D235" s="10"/>
      <c r="E235" s="61">
        <v>46108</v>
      </c>
      <c r="F235" s="10"/>
      <c r="G235" s="10"/>
      <c r="H235" s="21"/>
      <c r="I235" s="10"/>
      <c r="J235" s="10"/>
    </row>
    <row r="236" spans="1:10" ht="13" hidden="1" outlineLevel="1" x14ac:dyDescent="0.35">
      <c r="A236" s="20" t="s">
        <v>440</v>
      </c>
      <c r="B236" s="8" t="s">
        <v>441</v>
      </c>
      <c r="C236" s="8" t="s">
        <v>442</v>
      </c>
      <c r="D236" s="7" t="s">
        <v>17</v>
      </c>
      <c r="E236" s="59">
        <f>E$235</f>
        <v>46108</v>
      </c>
      <c r="F236" s="7" t="s">
        <v>18</v>
      </c>
    </row>
    <row r="237" spans="1:10" ht="13" hidden="1" outlineLevel="1" x14ac:dyDescent="0.35">
      <c r="A237" s="20" t="s">
        <v>440</v>
      </c>
      <c r="B237" s="8" t="s">
        <v>443</v>
      </c>
      <c r="C237" s="8" t="s">
        <v>442</v>
      </c>
      <c r="D237" s="7" t="s">
        <v>17</v>
      </c>
      <c r="E237" s="59">
        <f t="shared" ref="E237:E268" si="9">E$235</f>
        <v>46108</v>
      </c>
      <c r="F237" s="7" t="s">
        <v>438</v>
      </c>
    </row>
    <row r="238" spans="1:10" ht="26" hidden="1" outlineLevel="1" x14ac:dyDescent="0.35">
      <c r="A238" s="20" t="s">
        <v>444</v>
      </c>
      <c r="B238" s="8" t="s">
        <v>445</v>
      </c>
      <c r="C238" s="8" t="s">
        <v>442</v>
      </c>
      <c r="D238" s="7" t="s">
        <v>103</v>
      </c>
      <c r="E238" s="59">
        <f t="shared" si="9"/>
        <v>46108</v>
      </c>
      <c r="F238" s="7" t="s">
        <v>18</v>
      </c>
      <c r="H238" s="20" t="s">
        <v>446</v>
      </c>
    </row>
    <row r="239" spans="1:10" ht="26" hidden="1" outlineLevel="1" x14ac:dyDescent="0.35">
      <c r="A239" s="20" t="s">
        <v>444</v>
      </c>
      <c r="B239" s="8" t="s">
        <v>447</v>
      </c>
      <c r="C239" s="8" t="s">
        <v>442</v>
      </c>
      <c r="D239" s="7" t="s">
        <v>103</v>
      </c>
      <c r="E239" s="59">
        <f t="shared" si="9"/>
        <v>46108</v>
      </c>
      <c r="F239" s="7" t="s">
        <v>65</v>
      </c>
      <c r="H239" s="20" t="s">
        <v>446</v>
      </c>
    </row>
    <row r="240" spans="1:10" ht="13" hidden="1" outlineLevel="1" x14ac:dyDescent="0.35">
      <c r="A240" s="20" t="s">
        <v>448</v>
      </c>
      <c r="B240" s="8" t="s">
        <v>449</v>
      </c>
      <c r="C240" s="8" t="s">
        <v>442</v>
      </c>
      <c r="D240" s="7" t="s">
        <v>17</v>
      </c>
      <c r="E240" s="59">
        <f t="shared" si="9"/>
        <v>46108</v>
      </c>
      <c r="F240" s="7" t="s">
        <v>438</v>
      </c>
      <c r="G240" s="7" t="s">
        <v>65</v>
      </c>
    </row>
    <row r="241" spans="1:7" ht="26" hidden="1" outlineLevel="1" x14ac:dyDescent="0.35">
      <c r="A241" s="20" t="s">
        <v>450</v>
      </c>
      <c r="B241" s="8" t="s">
        <v>451</v>
      </c>
      <c r="C241" s="8" t="s">
        <v>442</v>
      </c>
      <c r="D241" s="7" t="s">
        <v>103</v>
      </c>
      <c r="E241" s="59">
        <f t="shared" si="9"/>
        <v>46108</v>
      </c>
      <c r="F241" s="7" t="s">
        <v>65</v>
      </c>
      <c r="G241" s="7" t="s">
        <v>438</v>
      </c>
    </row>
    <row r="242" spans="1:7" ht="26" hidden="1" outlineLevel="1" x14ac:dyDescent="0.35">
      <c r="A242" s="20" t="s">
        <v>452</v>
      </c>
      <c r="B242" s="8" t="s">
        <v>453</v>
      </c>
      <c r="C242" s="8" t="s">
        <v>442</v>
      </c>
      <c r="D242" s="7" t="s">
        <v>17</v>
      </c>
      <c r="E242" s="59">
        <f t="shared" si="9"/>
        <v>46108</v>
      </c>
      <c r="F242" s="7" t="s">
        <v>438</v>
      </c>
      <c r="G242" s="7" t="s">
        <v>37</v>
      </c>
    </row>
    <row r="243" spans="1:7" ht="13" hidden="1" outlineLevel="1" x14ac:dyDescent="0.35">
      <c r="A243" s="20" t="s">
        <v>454</v>
      </c>
      <c r="B243" s="8" t="s">
        <v>455</v>
      </c>
      <c r="C243" s="8" t="s">
        <v>314</v>
      </c>
      <c r="D243" s="7" t="s">
        <v>17</v>
      </c>
      <c r="E243" s="59">
        <f t="shared" si="9"/>
        <v>46108</v>
      </c>
      <c r="F243" s="7" t="s">
        <v>40</v>
      </c>
    </row>
    <row r="244" spans="1:7" ht="13" hidden="1" outlineLevel="1" x14ac:dyDescent="0.35">
      <c r="A244" s="20" t="s">
        <v>456</v>
      </c>
      <c r="B244" s="8" t="s">
        <v>457</v>
      </c>
      <c r="C244" s="8" t="s">
        <v>314</v>
      </c>
      <c r="D244" s="7" t="s">
        <v>17</v>
      </c>
      <c r="E244" s="59">
        <f t="shared" si="9"/>
        <v>46108</v>
      </c>
      <c r="F244" s="7" t="s">
        <v>37</v>
      </c>
    </row>
    <row r="245" spans="1:7" ht="13" hidden="1" outlineLevel="1" x14ac:dyDescent="0.35">
      <c r="A245" s="20" t="s">
        <v>458</v>
      </c>
      <c r="B245" s="8" t="s">
        <v>457</v>
      </c>
      <c r="C245" s="8" t="s">
        <v>314</v>
      </c>
      <c r="D245" s="7" t="s">
        <v>17</v>
      </c>
      <c r="E245" s="59">
        <f t="shared" si="9"/>
        <v>46108</v>
      </c>
      <c r="F245" s="7" t="s">
        <v>37</v>
      </c>
    </row>
    <row r="246" spans="1:7" ht="13" hidden="1" outlineLevel="1" x14ac:dyDescent="0.35">
      <c r="A246" s="20" t="s">
        <v>459</v>
      </c>
      <c r="B246" s="8" t="s">
        <v>457</v>
      </c>
      <c r="C246" s="8" t="s">
        <v>314</v>
      </c>
      <c r="D246" s="7" t="s">
        <v>17</v>
      </c>
      <c r="E246" s="59">
        <f t="shared" si="9"/>
        <v>46108</v>
      </c>
      <c r="F246" s="7" t="s">
        <v>37</v>
      </c>
    </row>
    <row r="247" spans="1:7" ht="13" hidden="1" outlineLevel="1" x14ac:dyDescent="0.35">
      <c r="A247" s="20" t="s">
        <v>460</v>
      </c>
      <c r="B247" s="8" t="s">
        <v>461</v>
      </c>
      <c r="C247" s="8" t="s">
        <v>314</v>
      </c>
      <c r="D247" s="7" t="s">
        <v>17</v>
      </c>
      <c r="E247" s="59">
        <f t="shared" si="9"/>
        <v>46108</v>
      </c>
      <c r="F247" s="7" t="s">
        <v>48</v>
      </c>
    </row>
    <row r="248" spans="1:7" ht="26" hidden="1" outlineLevel="1" x14ac:dyDescent="0.35">
      <c r="A248" s="20" t="s">
        <v>322</v>
      </c>
      <c r="B248" s="8" t="s">
        <v>462</v>
      </c>
      <c r="C248" s="8" t="s">
        <v>314</v>
      </c>
      <c r="D248" s="7" t="s">
        <v>17</v>
      </c>
      <c r="E248" s="59">
        <f t="shared" si="9"/>
        <v>46108</v>
      </c>
      <c r="F248" s="7" t="s">
        <v>21</v>
      </c>
    </row>
    <row r="249" spans="1:7" ht="26" hidden="1" outlineLevel="1" x14ac:dyDescent="0.35">
      <c r="A249" s="20" t="s">
        <v>209</v>
      </c>
      <c r="B249" s="8" t="s">
        <v>463</v>
      </c>
      <c r="C249" s="8" t="s">
        <v>314</v>
      </c>
      <c r="D249" s="7" t="s">
        <v>17</v>
      </c>
      <c r="E249" s="59">
        <f t="shared" si="9"/>
        <v>46108</v>
      </c>
      <c r="F249" s="7" t="s">
        <v>21</v>
      </c>
    </row>
    <row r="250" spans="1:7" ht="13" hidden="1" outlineLevel="1" x14ac:dyDescent="0.35">
      <c r="A250" s="20" t="s">
        <v>464</v>
      </c>
      <c r="B250" s="8" t="s">
        <v>465</v>
      </c>
      <c r="C250" s="8" t="s">
        <v>314</v>
      </c>
      <c r="D250" s="7" t="s">
        <v>17</v>
      </c>
      <c r="E250" s="59">
        <f t="shared" si="9"/>
        <v>46108</v>
      </c>
      <c r="F250" s="7" t="s">
        <v>79</v>
      </c>
    </row>
    <row r="251" spans="1:7" ht="13" hidden="1" outlineLevel="1" x14ac:dyDescent="0.35">
      <c r="A251" s="20" t="s">
        <v>466</v>
      </c>
      <c r="B251" s="8" t="s">
        <v>467</v>
      </c>
      <c r="C251" s="8" t="s">
        <v>314</v>
      </c>
      <c r="D251" s="7" t="s">
        <v>17</v>
      </c>
      <c r="E251" s="59">
        <f t="shared" si="9"/>
        <v>46108</v>
      </c>
      <c r="F251" s="7" t="s">
        <v>18</v>
      </c>
      <c r="G251" s="7" t="s">
        <v>48</v>
      </c>
    </row>
    <row r="252" spans="1:7" ht="13" hidden="1" outlineLevel="1" x14ac:dyDescent="0.35">
      <c r="A252" s="20" t="s">
        <v>468</v>
      </c>
      <c r="B252" s="8" t="s">
        <v>469</v>
      </c>
      <c r="C252" s="8" t="s">
        <v>314</v>
      </c>
      <c r="D252" s="7" t="s">
        <v>17</v>
      </c>
      <c r="E252" s="59">
        <f t="shared" si="9"/>
        <v>46108</v>
      </c>
      <c r="F252" s="7" t="s">
        <v>65</v>
      </c>
      <c r="G252" s="7" t="s">
        <v>30</v>
      </c>
    </row>
    <row r="253" spans="1:7" ht="13" hidden="1" outlineLevel="1" x14ac:dyDescent="0.35">
      <c r="A253" s="20" t="s">
        <v>470</v>
      </c>
      <c r="B253" s="8" t="s">
        <v>471</v>
      </c>
      <c r="C253" s="8" t="s">
        <v>314</v>
      </c>
      <c r="D253" s="7" t="s">
        <v>17</v>
      </c>
      <c r="E253" s="59">
        <f t="shared" si="9"/>
        <v>46108</v>
      </c>
      <c r="F253" s="7" t="s">
        <v>57</v>
      </c>
    </row>
    <row r="254" spans="1:7" ht="26" hidden="1" outlineLevel="1" x14ac:dyDescent="0.35">
      <c r="A254" s="20" t="s">
        <v>249</v>
      </c>
      <c r="B254" s="8" t="s">
        <v>472</v>
      </c>
      <c r="C254" s="8" t="s">
        <v>314</v>
      </c>
      <c r="D254" s="7" t="s">
        <v>17</v>
      </c>
      <c r="E254" s="59">
        <f t="shared" si="9"/>
        <v>46108</v>
      </c>
      <c r="F254" s="7" t="s">
        <v>79</v>
      </c>
    </row>
    <row r="255" spans="1:7" ht="13" hidden="1" outlineLevel="1" x14ac:dyDescent="0.35">
      <c r="A255" s="20" t="s">
        <v>209</v>
      </c>
      <c r="B255" s="8" t="s">
        <v>473</v>
      </c>
      <c r="C255" s="8" t="s">
        <v>314</v>
      </c>
      <c r="D255" s="7" t="s">
        <v>17</v>
      </c>
      <c r="E255" s="59">
        <f t="shared" si="9"/>
        <v>46108</v>
      </c>
      <c r="F255" s="7" t="s">
        <v>21</v>
      </c>
    </row>
    <row r="256" spans="1:7" ht="13" hidden="1" outlineLevel="1" x14ac:dyDescent="0.35">
      <c r="A256" s="20" t="s">
        <v>474</v>
      </c>
      <c r="B256" s="8" t="s">
        <v>475</v>
      </c>
      <c r="C256" s="8" t="s">
        <v>314</v>
      </c>
      <c r="D256" s="7" t="s">
        <v>17</v>
      </c>
      <c r="E256" s="59">
        <f t="shared" si="9"/>
        <v>46108</v>
      </c>
      <c r="F256" s="7" t="s">
        <v>21</v>
      </c>
    </row>
    <row r="257" spans="1:8" ht="26" hidden="1" outlineLevel="1" x14ac:dyDescent="0.35">
      <c r="A257" s="20" t="s">
        <v>476</v>
      </c>
      <c r="B257" s="8" t="s">
        <v>477</v>
      </c>
      <c r="C257" s="8" t="s">
        <v>314</v>
      </c>
      <c r="D257" s="7" t="s">
        <v>17</v>
      </c>
      <c r="E257" s="59">
        <f t="shared" si="9"/>
        <v>46108</v>
      </c>
      <c r="F257" s="7" t="s">
        <v>65</v>
      </c>
      <c r="G257" s="7" t="s">
        <v>21</v>
      </c>
    </row>
    <row r="258" spans="1:8" ht="26" hidden="1" outlineLevel="1" x14ac:dyDescent="0.35">
      <c r="A258" s="20" t="s">
        <v>218</v>
      </c>
      <c r="B258" s="8" t="s">
        <v>478</v>
      </c>
      <c r="C258" s="8" t="s">
        <v>314</v>
      </c>
      <c r="D258" s="7" t="s">
        <v>17</v>
      </c>
      <c r="E258" s="59">
        <f t="shared" si="9"/>
        <v>46108</v>
      </c>
      <c r="F258" s="7" t="s">
        <v>21</v>
      </c>
      <c r="H258" s="20" t="s">
        <v>479</v>
      </c>
    </row>
    <row r="259" spans="1:8" ht="13" hidden="1" outlineLevel="1" x14ac:dyDescent="0.35">
      <c r="A259" s="20" t="s">
        <v>415</v>
      </c>
      <c r="B259" s="8" t="s">
        <v>480</v>
      </c>
      <c r="C259" s="8" t="s">
        <v>314</v>
      </c>
      <c r="D259" s="7" t="s">
        <v>17</v>
      </c>
      <c r="E259" s="59">
        <f t="shared" si="9"/>
        <v>46108</v>
      </c>
      <c r="F259" s="7" t="s">
        <v>48</v>
      </c>
    </row>
    <row r="260" spans="1:8" ht="26" hidden="1" outlineLevel="1" x14ac:dyDescent="0.35">
      <c r="A260" s="20" t="s">
        <v>481</v>
      </c>
      <c r="B260" s="8" t="s">
        <v>482</v>
      </c>
      <c r="C260" s="8" t="s">
        <v>314</v>
      </c>
      <c r="D260" s="7" t="s">
        <v>17</v>
      </c>
      <c r="E260" s="59">
        <f t="shared" si="9"/>
        <v>46108</v>
      </c>
      <c r="F260" s="7" t="s">
        <v>37</v>
      </c>
    </row>
    <row r="261" spans="1:8" ht="26" hidden="1" outlineLevel="1" x14ac:dyDescent="0.35">
      <c r="A261" s="20" t="s">
        <v>483</v>
      </c>
      <c r="B261" s="8" t="s">
        <v>482</v>
      </c>
      <c r="C261" s="8" t="s">
        <v>314</v>
      </c>
      <c r="D261" s="7" t="s">
        <v>17</v>
      </c>
      <c r="E261" s="59">
        <f t="shared" si="9"/>
        <v>46108</v>
      </c>
      <c r="F261" s="7" t="s">
        <v>438</v>
      </c>
    </row>
    <row r="262" spans="1:8" ht="26" hidden="1" outlineLevel="1" x14ac:dyDescent="0.35">
      <c r="A262" s="20" t="s">
        <v>484</v>
      </c>
      <c r="B262" s="8" t="s">
        <v>485</v>
      </c>
      <c r="C262" s="8" t="s">
        <v>314</v>
      </c>
      <c r="D262" s="7" t="s">
        <v>17</v>
      </c>
      <c r="E262" s="59">
        <f t="shared" si="9"/>
        <v>46108</v>
      </c>
      <c r="F262" s="7" t="s">
        <v>57</v>
      </c>
      <c r="H262" s="20" t="s">
        <v>486</v>
      </c>
    </row>
    <row r="263" spans="1:8" ht="26" hidden="1" outlineLevel="1" x14ac:dyDescent="0.35">
      <c r="A263" s="20" t="s">
        <v>487</v>
      </c>
      <c r="B263" s="8" t="s">
        <v>488</v>
      </c>
      <c r="C263" s="8" t="s">
        <v>314</v>
      </c>
      <c r="D263" s="7" t="s">
        <v>17</v>
      </c>
      <c r="E263" s="59">
        <f t="shared" si="9"/>
        <v>46108</v>
      </c>
      <c r="F263" s="7" t="s">
        <v>57</v>
      </c>
      <c r="H263" s="20" t="s">
        <v>489</v>
      </c>
    </row>
    <row r="264" spans="1:8" ht="26" hidden="1" outlineLevel="1" x14ac:dyDescent="0.35">
      <c r="A264" s="20" t="s">
        <v>383</v>
      </c>
      <c r="B264" s="8" t="s">
        <v>490</v>
      </c>
      <c r="C264" s="8" t="s">
        <v>314</v>
      </c>
      <c r="D264" s="7" t="s">
        <v>223</v>
      </c>
      <c r="E264" s="59">
        <f t="shared" si="9"/>
        <v>46108</v>
      </c>
      <c r="F264" s="7" t="s">
        <v>57</v>
      </c>
      <c r="H264" s="20" t="s">
        <v>491</v>
      </c>
    </row>
    <row r="265" spans="1:8" ht="26" hidden="1" outlineLevel="1" x14ac:dyDescent="0.35">
      <c r="A265" s="20" t="s">
        <v>492</v>
      </c>
      <c r="B265" s="8" t="s">
        <v>493</v>
      </c>
      <c r="C265" s="8" t="s">
        <v>314</v>
      </c>
      <c r="D265" s="7" t="s">
        <v>17</v>
      </c>
      <c r="E265" s="59">
        <f t="shared" si="9"/>
        <v>46108</v>
      </c>
      <c r="F265" s="7" t="s">
        <v>48</v>
      </c>
    </row>
    <row r="266" spans="1:8" ht="13" hidden="1" outlineLevel="1" x14ac:dyDescent="0.35">
      <c r="A266" s="20" t="s">
        <v>494</v>
      </c>
      <c r="B266" s="8" t="s">
        <v>495</v>
      </c>
      <c r="C266" s="8" t="s">
        <v>442</v>
      </c>
      <c r="D266" s="7" t="s">
        <v>17</v>
      </c>
      <c r="E266" s="59">
        <f t="shared" si="9"/>
        <v>46108</v>
      </c>
      <c r="F266" s="7" t="s">
        <v>40</v>
      </c>
    </row>
    <row r="267" spans="1:8" ht="26" hidden="1" outlineLevel="1" x14ac:dyDescent="0.35">
      <c r="A267" s="20" t="s">
        <v>496</v>
      </c>
      <c r="B267" s="8" t="s">
        <v>497</v>
      </c>
      <c r="C267" s="8" t="s">
        <v>442</v>
      </c>
      <c r="D267" s="7" t="s">
        <v>17</v>
      </c>
      <c r="E267" s="59">
        <f t="shared" si="9"/>
        <v>46108</v>
      </c>
      <c r="F267" s="7" t="s">
        <v>57</v>
      </c>
    </row>
    <row r="268" spans="1:8" ht="15" hidden="1" customHeight="1" outlineLevel="1" x14ac:dyDescent="0.35">
      <c r="A268" s="20" t="s">
        <v>498</v>
      </c>
      <c r="B268" s="8" t="s">
        <v>499</v>
      </c>
      <c r="C268" s="8" t="s">
        <v>314</v>
      </c>
      <c r="D268" s="7" t="s">
        <v>223</v>
      </c>
      <c r="E268" s="59">
        <f t="shared" si="9"/>
        <v>46108</v>
      </c>
      <c r="F268" s="7" t="s">
        <v>37</v>
      </c>
      <c r="G268" s="7" t="s">
        <v>438</v>
      </c>
      <c r="H268" s="20" t="s">
        <v>500</v>
      </c>
    </row>
    <row r="269" spans="1:8" ht="15" hidden="1" customHeight="1" outlineLevel="1" x14ac:dyDescent="0.35"/>
    <row r="270" spans="1:8" ht="15" hidden="1" customHeight="1" outlineLevel="1" x14ac:dyDescent="0.35"/>
    <row r="271" spans="1:8" ht="15" hidden="1" customHeight="1" collapsed="1" x14ac:dyDescent="0.35"/>
    <row r="272" spans="1:8" ht="15" hidden="1" customHeight="1" x14ac:dyDescent="0.35"/>
    <row r="273" spans="1:8" ht="15" hidden="1" customHeight="1" x14ac:dyDescent="0.35">
      <c r="A273" s="21" t="s">
        <v>501</v>
      </c>
      <c r="B273" s="14"/>
      <c r="C273" s="14"/>
      <c r="D273" s="10"/>
      <c r="E273" s="61">
        <v>46114</v>
      </c>
      <c r="F273" s="10"/>
      <c r="G273" s="10"/>
      <c r="H273" s="21"/>
    </row>
    <row r="274" spans="1:8" ht="39" hidden="1" outlineLevel="1" x14ac:dyDescent="0.35">
      <c r="A274" s="20" t="s">
        <v>502</v>
      </c>
      <c r="B274" s="8" t="s">
        <v>503</v>
      </c>
      <c r="C274" s="8" t="s">
        <v>314</v>
      </c>
      <c r="D274" s="7" t="s">
        <v>17</v>
      </c>
      <c r="E274" s="59">
        <f t="shared" ref="E274" si="10">$E$273</f>
        <v>46114</v>
      </c>
      <c r="F274" s="7" t="s">
        <v>21</v>
      </c>
    </row>
    <row r="275" spans="1:8" ht="88.5" hidden="1" customHeight="1" outlineLevel="1" x14ac:dyDescent="0.35">
      <c r="A275" s="20" t="s">
        <v>55</v>
      </c>
      <c r="B275" s="8" t="s">
        <v>504</v>
      </c>
      <c r="C275" s="8" t="s">
        <v>387</v>
      </c>
      <c r="D275" s="7" t="s">
        <v>17</v>
      </c>
      <c r="E275" s="59">
        <v>46116</v>
      </c>
      <c r="F275" s="7" t="s">
        <v>57</v>
      </c>
    </row>
    <row r="276" spans="1:8" ht="15" hidden="1" customHeight="1" outlineLevel="1" x14ac:dyDescent="0.35"/>
    <row r="277" spans="1:8" ht="15" hidden="1" customHeight="1" collapsed="1" x14ac:dyDescent="0.35"/>
    <row r="278" spans="1:8" ht="15" hidden="1" customHeight="1" x14ac:dyDescent="0.35">
      <c r="A278" s="21" t="s">
        <v>505</v>
      </c>
      <c r="B278" s="14"/>
      <c r="C278" s="14"/>
      <c r="D278" s="10"/>
      <c r="E278" s="61">
        <v>46122</v>
      </c>
      <c r="F278" s="10"/>
      <c r="G278" s="10"/>
      <c r="H278" s="21"/>
    </row>
    <row r="279" spans="1:8" ht="26" hidden="1" outlineLevel="1" x14ac:dyDescent="0.35">
      <c r="A279" s="20" t="s">
        <v>506</v>
      </c>
      <c r="B279" s="8" t="s">
        <v>507</v>
      </c>
      <c r="C279" s="8" t="s">
        <v>442</v>
      </c>
      <c r="D279" s="7" t="s">
        <v>17</v>
      </c>
      <c r="E279" s="59">
        <f>$E$278</f>
        <v>46122</v>
      </c>
      <c r="F279" s="7" t="s">
        <v>79</v>
      </c>
    </row>
    <row r="280" spans="1:8" ht="15" hidden="1" customHeight="1" outlineLevel="1" x14ac:dyDescent="0.35">
      <c r="A280" s="20" t="s">
        <v>508</v>
      </c>
      <c r="B280" s="8" t="s">
        <v>509</v>
      </c>
      <c r="C280" s="8" t="s">
        <v>442</v>
      </c>
      <c r="D280" s="7" t="s">
        <v>17</v>
      </c>
      <c r="E280" s="59">
        <f>$E$278</f>
        <v>46122</v>
      </c>
      <c r="F280" s="7" t="s">
        <v>37</v>
      </c>
    </row>
    <row r="281" spans="1:8" ht="15" hidden="1" customHeight="1" outlineLevel="1" x14ac:dyDescent="0.35">
      <c r="A281" s="20" t="s">
        <v>510</v>
      </c>
      <c r="B281" s="8" t="s">
        <v>511</v>
      </c>
      <c r="D281" s="7" t="s">
        <v>17</v>
      </c>
      <c r="E281" s="59">
        <f>$E$278</f>
        <v>46122</v>
      </c>
      <c r="F281" s="7" t="s">
        <v>30</v>
      </c>
      <c r="G281" s="7" t="s">
        <v>27</v>
      </c>
    </row>
    <row r="282" spans="1:8" ht="26" hidden="1" outlineLevel="1" x14ac:dyDescent="0.35">
      <c r="A282" s="20" t="s">
        <v>331</v>
      </c>
      <c r="B282" s="8" t="s">
        <v>512</v>
      </c>
      <c r="C282" s="8" t="s">
        <v>442</v>
      </c>
      <c r="D282" s="7" t="s">
        <v>223</v>
      </c>
      <c r="E282" s="59">
        <f>$E$278</f>
        <v>46122</v>
      </c>
      <c r="F282" s="7" t="s">
        <v>40</v>
      </c>
    </row>
    <row r="283" spans="1:8" ht="15" hidden="1" customHeight="1" outlineLevel="1" x14ac:dyDescent="0.35">
      <c r="A283" s="20" t="s">
        <v>513</v>
      </c>
      <c r="B283" s="8" t="s">
        <v>514</v>
      </c>
      <c r="C283" s="8" t="s">
        <v>314</v>
      </c>
      <c r="D283" s="7" t="s">
        <v>17</v>
      </c>
      <c r="E283" s="59">
        <f>$E$278</f>
        <v>46122</v>
      </c>
      <c r="F283" s="7" t="s">
        <v>79</v>
      </c>
    </row>
    <row r="284" spans="1:8" ht="26" hidden="1" outlineLevel="1" x14ac:dyDescent="0.35">
      <c r="A284" s="20" t="s">
        <v>515</v>
      </c>
      <c r="B284" s="8" t="s">
        <v>516</v>
      </c>
      <c r="C284" s="8" t="s">
        <v>314</v>
      </c>
      <c r="D284" s="7" t="s">
        <v>17</v>
      </c>
      <c r="E284" s="59">
        <f t="shared" ref="E284:E293" si="11">$E$278</f>
        <v>46122</v>
      </c>
      <c r="F284" s="7" t="s">
        <v>438</v>
      </c>
    </row>
    <row r="285" spans="1:8" ht="15" hidden="1" customHeight="1" outlineLevel="1" x14ac:dyDescent="0.35">
      <c r="A285" s="20" t="s">
        <v>466</v>
      </c>
      <c r="B285" s="8" t="s">
        <v>517</v>
      </c>
      <c r="C285" s="8" t="s">
        <v>314</v>
      </c>
      <c r="D285" s="7" t="s">
        <v>17</v>
      </c>
      <c r="E285" s="59">
        <f t="shared" si="11"/>
        <v>46122</v>
      </c>
      <c r="F285" s="7" t="s">
        <v>48</v>
      </c>
      <c r="G285" s="7" t="s">
        <v>65</v>
      </c>
    </row>
    <row r="286" spans="1:8" ht="15" hidden="1" customHeight="1" outlineLevel="1" x14ac:dyDescent="0.35">
      <c r="A286" s="20" t="s">
        <v>251</v>
      </c>
      <c r="B286" s="8" t="s">
        <v>519</v>
      </c>
      <c r="C286" s="8" t="s">
        <v>314</v>
      </c>
      <c r="D286" s="7" t="s">
        <v>17</v>
      </c>
      <c r="E286" s="59">
        <f t="shared" si="11"/>
        <v>46122</v>
      </c>
      <c r="F286" s="7" t="s">
        <v>30</v>
      </c>
    </row>
    <row r="287" spans="1:8" ht="26" hidden="1" outlineLevel="1" x14ac:dyDescent="0.35">
      <c r="A287" s="20" t="s">
        <v>520</v>
      </c>
      <c r="B287" s="8" t="s">
        <v>521</v>
      </c>
      <c r="C287" s="8" t="s">
        <v>314</v>
      </c>
      <c r="D287" s="7" t="s">
        <v>223</v>
      </c>
      <c r="E287" s="59">
        <f t="shared" si="11"/>
        <v>46122</v>
      </c>
      <c r="F287" s="7" t="s">
        <v>26</v>
      </c>
    </row>
    <row r="288" spans="1:8" ht="15" hidden="1" customHeight="1" outlineLevel="1" x14ac:dyDescent="0.35">
      <c r="A288" s="20" t="s">
        <v>522</v>
      </c>
      <c r="B288" s="8" t="s">
        <v>523</v>
      </c>
      <c r="C288" s="8" t="s">
        <v>314</v>
      </c>
      <c r="D288" s="7" t="s">
        <v>17</v>
      </c>
      <c r="E288" s="59">
        <f t="shared" si="11"/>
        <v>46122</v>
      </c>
      <c r="F288" s="7" t="s">
        <v>30</v>
      </c>
    </row>
    <row r="289" spans="1:8" ht="15" hidden="1" customHeight="1" outlineLevel="1" x14ac:dyDescent="0.35">
      <c r="A289" s="20" t="s">
        <v>524</v>
      </c>
      <c r="B289" s="8" t="s">
        <v>525</v>
      </c>
      <c r="C289" s="8" t="s">
        <v>314</v>
      </c>
      <c r="D289" s="7" t="s">
        <v>223</v>
      </c>
      <c r="E289" s="59">
        <f t="shared" si="11"/>
        <v>46122</v>
      </c>
      <c r="F289" s="7" t="s">
        <v>30</v>
      </c>
      <c r="G289" s="7" t="s">
        <v>65</v>
      </c>
      <c r="H289" s="20" t="s">
        <v>526</v>
      </c>
    </row>
    <row r="290" spans="1:8" ht="15" hidden="1" customHeight="1" outlineLevel="1" x14ac:dyDescent="0.35">
      <c r="A290" s="20" t="s">
        <v>527</v>
      </c>
      <c r="B290" s="8" t="s">
        <v>528</v>
      </c>
      <c r="C290" s="8" t="s">
        <v>314</v>
      </c>
      <c r="D290" s="7" t="s">
        <v>248</v>
      </c>
      <c r="E290" s="59">
        <f t="shared" si="11"/>
        <v>46122</v>
      </c>
      <c r="F290" s="7" t="s">
        <v>438</v>
      </c>
      <c r="G290" s="7" t="s">
        <v>65</v>
      </c>
      <c r="H290" s="20" t="s">
        <v>758</v>
      </c>
    </row>
    <row r="291" spans="1:8" ht="15" hidden="1" customHeight="1" outlineLevel="1" x14ac:dyDescent="0.35">
      <c r="A291" s="20" t="s">
        <v>529</v>
      </c>
      <c r="B291" s="8" t="s">
        <v>530</v>
      </c>
      <c r="C291" s="8" t="s">
        <v>314</v>
      </c>
      <c r="D291" s="7" t="s">
        <v>17</v>
      </c>
      <c r="E291" s="59">
        <f t="shared" si="11"/>
        <v>46122</v>
      </c>
      <c r="F291" s="7" t="s">
        <v>65</v>
      </c>
    </row>
    <row r="292" spans="1:8" ht="15" hidden="1" customHeight="1" outlineLevel="1" x14ac:dyDescent="0.35">
      <c r="A292" s="20" t="s">
        <v>531</v>
      </c>
      <c r="B292" s="8" t="s">
        <v>532</v>
      </c>
      <c r="C292" s="8" t="s">
        <v>442</v>
      </c>
      <c r="D292" s="7" t="s">
        <v>17</v>
      </c>
      <c r="E292" s="59">
        <f t="shared" si="11"/>
        <v>46122</v>
      </c>
      <c r="F292" s="7" t="s">
        <v>438</v>
      </c>
      <c r="H292" s="20" t="s">
        <v>533</v>
      </c>
    </row>
    <row r="293" spans="1:8" ht="15" hidden="1" customHeight="1" outlineLevel="1" x14ac:dyDescent="0.35">
      <c r="A293" s="20" t="s">
        <v>534</v>
      </c>
      <c r="B293" s="8" t="s">
        <v>532</v>
      </c>
      <c r="C293" s="8" t="s">
        <v>442</v>
      </c>
      <c r="D293" s="7" t="s">
        <v>17</v>
      </c>
      <c r="E293" s="59">
        <f t="shared" si="11"/>
        <v>46122</v>
      </c>
      <c r="F293" s="7" t="s">
        <v>438</v>
      </c>
    </row>
    <row r="294" spans="1:8" ht="15" hidden="1" customHeight="1" collapsed="1" x14ac:dyDescent="0.35"/>
    <row r="295" spans="1:8" ht="15" hidden="1" customHeight="1" x14ac:dyDescent="0.35"/>
    <row r="296" spans="1:8" ht="15" hidden="1" customHeight="1" x14ac:dyDescent="0.35">
      <c r="A296" s="21" t="s">
        <v>535</v>
      </c>
      <c r="B296" s="14"/>
      <c r="C296" s="14"/>
      <c r="D296" s="10"/>
      <c r="E296" s="61">
        <v>46129</v>
      </c>
      <c r="F296" s="10"/>
      <c r="G296" s="10"/>
      <c r="H296" s="21"/>
    </row>
    <row r="297" spans="1:8" ht="15" hidden="1" customHeight="1" outlineLevel="1" x14ac:dyDescent="0.35">
      <c r="A297" s="20" t="s">
        <v>218</v>
      </c>
      <c r="B297" s="8" t="s">
        <v>536</v>
      </c>
      <c r="C297" s="8" t="s">
        <v>314</v>
      </c>
      <c r="D297" s="7" t="s">
        <v>17</v>
      </c>
      <c r="E297" s="59">
        <f>$E$296</f>
        <v>46129</v>
      </c>
      <c r="F297" s="7" t="s">
        <v>21</v>
      </c>
    </row>
    <row r="298" spans="1:8" ht="15" hidden="1" customHeight="1" outlineLevel="1" x14ac:dyDescent="0.35">
      <c r="A298" s="20" t="s">
        <v>537</v>
      </c>
      <c r="B298" s="8" t="s">
        <v>536</v>
      </c>
      <c r="C298" s="8" t="s">
        <v>314</v>
      </c>
      <c r="D298" s="7" t="s">
        <v>17</v>
      </c>
      <c r="E298" s="59">
        <f t="shared" ref="E298:E321" si="12">$E$296</f>
        <v>46129</v>
      </c>
      <c r="F298" s="7" t="s">
        <v>27</v>
      </c>
    </row>
    <row r="299" spans="1:8" ht="15" hidden="1" customHeight="1" outlineLevel="1" x14ac:dyDescent="0.35">
      <c r="A299" s="20" t="s">
        <v>538</v>
      </c>
      <c r="B299" s="8" t="s">
        <v>536</v>
      </c>
      <c r="C299" s="8" t="s">
        <v>314</v>
      </c>
      <c r="D299" s="7" t="s">
        <v>17</v>
      </c>
      <c r="E299" s="59">
        <f t="shared" si="12"/>
        <v>46129</v>
      </c>
      <c r="F299" s="7" t="s">
        <v>40</v>
      </c>
    </row>
    <row r="300" spans="1:8" ht="15" hidden="1" customHeight="1" outlineLevel="1" x14ac:dyDescent="0.35">
      <c r="A300" s="20" t="s">
        <v>539</v>
      </c>
      <c r="B300" s="8" t="s">
        <v>536</v>
      </c>
      <c r="C300" s="8" t="s">
        <v>314</v>
      </c>
      <c r="D300" s="7" t="s">
        <v>17</v>
      </c>
      <c r="E300" s="59">
        <f t="shared" si="12"/>
        <v>46129</v>
      </c>
      <c r="F300" s="7" t="s">
        <v>27</v>
      </c>
    </row>
    <row r="301" spans="1:8" ht="15" hidden="1" customHeight="1" outlineLevel="1" x14ac:dyDescent="0.35">
      <c r="A301" s="20" t="s">
        <v>540</v>
      </c>
      <c r="B301" s="8" t="s">
        <v>541</v>
      </c>
      <c r="C301" s="8" t="s">
        <v>314</v>
      </c>
      <c r="D301" s="7" t="s">
        <v>17</v>
      </c>
      <c r="E301" s="59">
        <f t="shared" si="12"/>
        <v>46129</v>
      </c>
      <c r="F301" s="7" t="s">
        <v>438</v>
      </c>
    </row>
    <row r="302" spans="1:8" ht="15" hidden="1" customHeight="1" outlineLevel="1" x14ac:dyDescent="0.35">
      <c r="A302" s="20" t="s">
        <v>542</v>
      </c>
      <c r="B302" s="8" t="s">
        <v>543</v>
      </c>
      <c r="C302" s="8" t="s">
        <v>314</v>
      </c>
      <c r="D302" s="7" t="s">
        <v>17</v>
      </c>
      <c r="E302" s="59">
        <f t="shared" si="12"/>
        <v>46129</v>
      </c>
      <c r="F302" s="7" t="s">
        <v>438</v>
      </c>
    </row>
    <row r="303" spans="1:8" ht="26" hidden="1" outlineLevel="1" x14ac:dyDescent="0.35">
      <c r="A303" s="20" t="s">
        <v>544</v>
      </c>
      <c r="B303" s="8" t="s">
        <v>545</v>
      </c>
      <c r="C303" s="8" t="s">
        <v>314</v>
      </c>
      <c r="D303" s="7" t="s">
        <v>17</v>
      </c>
      <c r="E303" s="59">
        <f t="shared" si="12"/>
        <v>46129</v>
      </c>
      <c r="F303" s="7" t="s">
        <v>79</v>
      </c>
    </row>
    <row r="304" spans="1:8" ht="15" hidden="1" customHeight="1" outlineLevel="1" x14ac:dyDescent="0.35">
      <c r="A304" s="20" t="s">
        <v>237</v>
      </c>
      <c r="B304" s="8" t="s">
        <v>546</v>
      </c>
      <c r="C304" s="8" t="s">
        <v>314</v>
      </c>
      <c r="D304" s="7" t="s">
        <v>17</v>
      </c>
      <c r="E304" s="59">
        <f t="shared" si="12"/>
        <v>46129</v>
      </c>
      <c r="F304" s="7" t="s">
        <v>27</v>
      </c>
    </row>
    <row r="305" spans="1:7" ht="15" hidden="1" customHeight="1" outlineLevel="1" x14ac:dyDescent="0.35">
      <c r="A305" s="20" t="s">
        <v>547</v>
      </c>
      <c r="B305" s="8" t="s">
        <v>548</v>
      </c>
      <c r="C305" s="8" t="s">
        <v>314</v>
      </c>
      <c r="D305" s="7" t="s">
        <v>17</v>
      </c>
      <c r="E305" s="59">
        <f t="shared" si="12"/>
        <v>46129</v>
      </c>
      <c r="F305" s="7" t="s">
        <v>26</v>
      </c>
      <c r="G305" s="7" t="s">
        <v>57</v>
      </c>
    </row>
    <row r="306" spans="1:7" ht="15" hidden="1" customHeight="1" outlineLevel="1" x14ac:dyDescent="0.35">
      <c r="A306" s="20" t="s">
        <v>399</v>
      </c>
      <c r="B306" s="8" t="s">
        <v>548</v>
      </c>
      <c r="C306" s="8" t="s">
        <v>314</v>
      </c>
      <c r="D306" s="7" t="s">
        <v>17</v>
      </c>
      <c r="E306" s="59">
        <f t="shared" si="12"/>
        <v>46129</v>
      </c>
      <c r="F306" s="7" t="s">
        <v>26</v>
      </c>
      <c r="G306" s="7" t="s">
        <v>57</v>
      </c>
    </row>
    <row r="307" spans="1:7" ht="15" hidden="1" customHeight="1" outlineLevel="1" x14ac:dyDescent="0.35">
      <c r="A307" s="20" t="s">
        <v>249</v>
      </c>
      <c r="B307" s="8" t="s">
        <v>549</v>
      </c>
      <c r="C307" s="8" t="s">
        <v>314</v>
      </c>
      <c r="D307" s="7" t="s">
        <v>17</v>
      </c>
      <c r="E307" s="59">
        <v>46125</v>
      </c>
      <c r="F307" s="7" t="s">
        <v>79</v>
      </c>
    </row>
    <row r="308" spans="1:7" ht="15" hidden="1" customHeight="1" outlineLevel="1" x14ac:dyDescent="0.35">
      <c r="A308" s="20" t="s">
        <v>550</v>
      </c>
      <c r="B308" s="8" t="s">
        <v>551</v>
      </c>
      <c r="C308" s="8" t="s">
        <v>314</v>
      </c>
      <c r="D308" s="7" t="s">
        <v>17</v>
      </c>
      <c r="E308" s="59">
        <f t="shared" si="12"/>
        <v>46129</v>
      </c>
      <c r="F308" s="7" t="s">
        <v>438</v>
      </c>
    </row>
    <row r="309" spans="1:7" ht="15" hidden="1" customHeight="1" outlineLevel="1" x14ac:dyDescent="0.35">
      <c r="A309" s="20" t="s">
        <v>552</v>
      </c>
      <c r="B309" s="8" t="s">
        <v>473</v>
      </c>
      <c r="C309" s="8" t="s">
        <v>314</v>
      </c>
      <c r="D309" s="7" t="s">
        <v>17</v>
      </c>
      <c r="E309" s="59">
        <f t="shared" si="12"/>
        <v>46129</v>
      </c>
      <c r="F309" s="7" t="s">
        <v>40</v>
      </c>
    </row>
    <row r="310" spans="1:7" ht="15" hidden="1" customHeight="1" outlineLevel="1" x14ac:dyDescent="0.35">
      <c r="A310" s="20" t="s">
        <v>553</v>
      </c>
      <c r="B310" s="8" t="s">
        <v>554</v>
      </c>
      <c r="C310" s="8" t="s">
        <v>314</v>
      </c>
      <c r="D310" s="7" t="s">
        <v>17</v>
      </c>
      <c r="E310" s="59">
        <f t="shared" si="12"/>
        <v>46129</v>
      </c>
      <c r="F310" s="7" t="s">
        <v>21</v>
      </c>
    </row>
    <row r="311" spans="1:7" ht="15" hidden="1" customHeight="1" outlineLevel="1" x14ac:dyDescent="0.35">
      <c r="A311" s="20" t="s">
        <v>55</v>
      </c>
      <c r="B311" s="8" t="s">
        <v>555</v>
      </c>
      <c r="C311" s="8" t="s">
        <v>314</v>
      </c>
      <c r="D311" s="7" t="s">
        <v>223</v>
      </c>
      <c r="E311" s="59">
        <f t="shared" si="12"/>
        <v>46129</v>
      </c>
      <c r="F311" s="7" t="s">
        <v>57</v>
      </c>
    </row>
    <row r="312" spans="1:7" ht="15" hidden="1" customHeight="1" outlineLevel="1" x14ac:dyDescent="0.35">
      <c r="A312" s="20" t="s">
        <v>172</v>
      </c>
      <c r="B312" s="8" t="s">
        <v>556</v>
      </c>
      <c r="C312" s="8" t="s">
        <v>314</v>
      </c>
      <c r="D312" s="7" t="s">
        <v>17</v>
      </c>
      <c r="E312" s="59">
        <f t="shared" si="12"/>
        <v>46129</v>
      </c>
      <c r="F312" s="7" t="s">
        <v>21</v>
      </c>
    </row>
    <row r="313" spans="1:7" ht="15" hidden="1" customHeight="1" outlineLevel="1" x14ac:dyDescent="0.35">
      <c r="A313" s="20" t="s">
        <v>557</v>
      </c>
      <c r="B313" s="8" t="s">
        <v>558</v>
      </c>
      <c r="C313" s="8" t="s">
        <v>314</v>
      </c>
      <c r="D313" s="7" t="s">
        <v>17</v>
      </c>
      <c r="E313" s="59">
        <f t="shared" si="12"/>
        <v>46129</v>
      </c>
      <c r="F313" s="7" t="s">
        <v>26</v>
      </c>
    </row>
    <row r="314" spans="1:7" ht="15" hidden="1" customHeight="1" outlineLevel="1" x14ac:dyDescent="0.35">
      <c r="A314" s="20" t="s">
        <v>425</v>
      </c>
      <c r="B314" s="8" t="s">
        <v>559</v>
      </c>
      <c r="C314" s="8" t="s">
        <v>314</v>
      </c>
      <c r="D314" s="7" t="s">
        <v>17</v>
      </c>
      <c r="E314" s="59">
        <f t="shared" si="12"/>
        <v>46129</v>
      </c>
      <c r="F314" s="7" t="s">
        <v>21</v>
      </c>
    </row>
    <row r="315" spans="1:7" ht="15" hidden="1" customHeight="1" outlineLevel="1" x14ac:dyDescent="0.35">
      <c r="A315" s="20" t="s">
        <v>560</v>
      </c>
      <c r="B315" s="8" t="s">
        <v>561</v>
      </c>
      <c r="C315" s="8" t="s">
        <v>314</v>
      </c>
      <c r="D315" s="7" t="s">
        <v>17</v>
      </c>
      <c r="E315" s="59">
        <f t="shared" si="12"/>
        <v>46129</v>
      </c>
      <c r="F315" s="7" t="s">
        <v>27</v>
      </c>
    </row>
    <row r="316" spans="1:7" ht="15" hidden="1" customHeight="1" outlineLevel="1" x14ac:dyDescent="0.35">
      <c r="A316" s="20" t="s">
        <v>562</v>
      </c>
      <c r="B316" s="8" t="s">
        <v>563</v>
      </c>
      <c r="C316" s="8" t="s">
        <v>314</v>
      </c>
      <c r="D316" s="7" t="s">
        <v>17</v>
      </c>
      <c r="E316" s="59">
        <f t="shared" si="12"/>
        <v>46129</v>
      </c>
      <c r="F316" s="7" t="s">
        <v>21</v>
      </c>
    </row>
    <row r="317" spans="1:7" ht="15" hidden="1" customHeight="1" outlineLevel="1" x14ac:dyDescent="0.35">
      <c r="A317" s="20" t="s">
        <v>564</v>
      </c>
      <c r="B317" s="8" t="s">
        <v>565</v>
      </c>
      <c r="C317" s="8" t="s">
        <v>314</v>
      </c>
      <c r="D317" s="7" t="s">
        <v>223</v>
      </c>
      <c r="E317" s="59">
        <f t="shared" si="12"/>
        <v>46129</v>
      </c>
      <c r="F317" s="7" t="s">
        <v>26</v>
      </c>
      <c r="G317" s="7" t="s">
        <v>18</v>
      </c>
    </row>
    <row r="318" spans="1:7" ht="15" hidden="1" customHeight="1" outlineLevel="1" x14ac:dyDescent="0.35">
      <c r="A318" s="20" t="s">
        <v>566</v>
      </c>
      <c r="B318" s="8" t="s">
        <v>565</v>
      </c>
      <c r="C318" s="8" t="s">
        <v>314</v>
      </c>
      <c r="D318" s="7" t="s">
        <v>103</v>
      </c>
      <c r="E318" s="59">
        <f t="shared" si="12"/>
        <v>46129</v>
      </c>
      <c r="F318" s="7" t="s">
        <v>21</v>
      </c>
    </row>
    <row r="319" spans="1:7" ht="15" hidden="1" customHeight="1" outlineLevel="1" x14ac:dyDescent="0.35">
      <c r="A319" s="20" t="s">
        <v>567</v>
      </c>
      <c r="B319" s="8" t="s">
        <v>568</v>
      </c>
      <c r="C319" s="8" t="s">
        <v>314</v>
      </c>
      <c r="D319" s="7" t="s">
        <v>17</v>
      </c>
      <c r="E319" s="59">
        <f t="shared" si="12"/>
        <v>46129</v>
      </c>
      <c r="F319" s="7" t="s">
        <v>37</v>
      </c>
    </row>
    <row r="320" spans="1:7" ht="15" hidden="1" customHeight="1" outlineLevel="1" x14ac:dyDescent="0.35">
      <c r="A320" s="20" t="s">
        <v>569</v>
      </c>
      <c r="B320" s="8" t="s">
        <v>570</v>
      </c>
      <c r="C320" s="8" t="s">
        <v>442</v>
      </c>
      <c r="D320" s="7" t="s">
        <v>17</v>
      </c>
      <c r="E320" s="59">
        <v>46126</v>
      </c>
      <c r="F320" s="7" t="s">
        <v>40</v>
      </c>
      <c r="G320" s="7" t="s">
        <v>21</v>
      </c>
    </row>
    <row r="321" spans="1:8" ht="15" hidden="1" customHeight="1" outlineLevel="1" x14ac:dyDescent="0.35">
      <c r="A321" s="20" t="s">
        <v>571</v>
      </c>
      <c r="B321" s="8" t="s">
        <v>572</v>
      </c>
      <c r="C321" s="8" t="s">
        <v>442</v>
      </c>
      <c r="D321" s="7" t="s">
        <v>17</v>
      </c>
      <c r="E321" s="59">
        <f t="shared" si="12"/>
        <v>46129</v>
      </c>
      <c r="F321" s="7" t="s">
        <v>48</v>
      </c>
    </row>
    <row r="322" spans="1:8" ht="15" hidden="1" customHeight="1" outlineLevel="1" x14ac:dyDescent="0.35">
      <c r="A322" s="20" t="s">
        <v>510</v>
      </c>
      <c r="B322" s="8" t="s">
        <v>511</v>
      </c>
      <c r="C322" s="8" t="s">
        <v>442</v>
      </c>
      <c r="D322" s="7" t="s">
        <v>17</v>
      </c>
      <c r="E322" s="59">
        <v>46126</v>
      </c>
      <c r="F322" s="7" t="s">
        <v>30</v>
      </c>
      <c r="G322" s="7" t="s">
        <v>27</v>
      </c>
    </row>
    <row r="323" spans="1:8" ht="15" hidden="1" customHeight="1" outlineLevel="1" x14ac:dyDescent="0.35">
      <c r="A323" s="20" t="s">
        <v>573</v>
      </c>
      <c r="B323" s="8" t="s">
        <v>574</v>
      </c>
      <c r="C323" s="8" t="s">
        <v>442</v>
      </c>
      <c r="D323" s="7" t="s">
        <v>17</v>
      </c>
      <c r="E323" s="59">
        <v>46126</v>
      </c>
      <c r="F323" s="7" t="s">
        <v>30</v>
      </c>
    </row>
    <row r="324" spans="1:8" ht="15" hidden="1" customHeight="1" outlineLevel="1" x14ac:dyDescent="0.35">
      <c r="A324" s="20" t="s">
        <v>172</v>
      </c>
      <c r="B324" s="8" t="s">
        <v>575</v>
      </c>
      <c r="C324" s="8" t="s">
        <v>363</v>
      </c>
      <c r="D324" s="7" t="s">
        <v>17</v>
      </c>
      <c r="E324" s="59">
        <f t="shared" ref="E324:E329" si="13">$E$296</f>
        <v>46129</v>
      </c>
      <c r="F324" s="7" t="s">
        <v>21</v>
      </c>
    </row>
    <row r="325" spans="1:8" ht="15" hidden="1" customHeight="1" outlineLevel="1" x14ac:dyDescent="0.35">
      <c r="A325" s="20" t="s">
        <v>576</v>
      </c>
      <c r="B325" s="8" t="s">
        <v>577</v>
      </c>
      <c r="C325" s="8" t="s">
        <v>442</v>
      </c>
      <c r="D325" s="7" t="s">
        <v>17</v>
      </c>
      <c r="E325" s="59">
        <f t="shared" si="13"/>
        <v>46129</v>
      </c>
      <c r="F325" s="7" t="s">
        <v>37</v>
      </c>
      <c r="G325" s="7" t="s">
        <v>79</v>
      </c>
    </row>
    <row r="326" spans="1:8" ht="15" hidden="1" customHeight="1" outlineLevel="1" x14ac:dyDescent="0.35">
      <c r="A326" s="20" t="s">
        <v>573</v>
      </c>
      <c r="B326" s="8" t="s">
        <v>578</v>
      </c>
      <c r="C326" s="8" t="s">
        <v>363</v>
      </c>
      <c r="D326" s="7" t="s">
        <v>17</v>
      </c>
      <c r="E326" s="59">
        <f t="shared" si="13"/>
        <v>46129</v>
      </c>
      <c r="F326" s="7" t="s">
        <v>30</v>
      </c>
    </row>
    <row r="327" spans="1:8" ht="15" hidden="1" customHeight="1" outlineLevel="1" x14ac:dyDescent="0.35">
      <c r="A327" s="20" t="s">
        <v>579</v>
      </c>
      <c r="B327" s="8" t="s">
        <v>580</v>
      </c>
      <c r="C327" s="8" t="s">
        <v>363</v>
      </c>
      <c r="D327" s="7" t="s">
        <v>17</v>
      </c>
      <c r="E327" s="59">
        <f t="shared" si="13"/>
        <v>46129</v>
      </c>
      <c r="F327" s="7" t="s">
        <v>21</v>
      </c>
    </row>
    <row r="328" spans="1:8" ht="15" hidden="1" customHeight="1" outlineLevel="1" x14ac:dyDescent="0.35">
      <c r="A328" s="20" t="s">
        <v>324</v>
      </c>
      <c r="B328" s="8" t="s">
        <v>581</v>
      </c>
      <c r="C328" s="8" t="s">
        <v>363</v>
      </c>
      <c r="D328" s="7" t="s">
        <v>17</v>
      </c>
      <c r="E328" s="59">
        <f t="shared" si="13"/>
        <v>46129</v>
      </c>
      <c r="F328" s="7" t="s">
        <v>21</v>
      </c>
    </row>
    <row r="329" spans="1:8" ht="15" hidden="1" customHeight="1" outlineLevel="1" x14ac:dyDescent="0.35">
      <c r="A329" s="20" t="s">
        <v>582</v>
      </c>
      <c r="B329" s="8" t="s">
        <v>583</v>
      </c>
      <c r="C329" s="8" t="s">
        <v>442</v>
      </c>
      <c r="D329" s="7" t="s">
        <v>17</v>
      </c>
      <c r="E329" s="59">
        <f t="shared" si="13"/>
        <v>46129</v>
      </c>
      <c r="F329" s="7" t="s">
        <v>18</v>
      </c>
      <c r="G329" s="7" t="s">
        <v>26</v>
      </c>
    </row>
    <row r="330" spans="1:8" ht="15" hidden="1" customHeight="1" outlineLevel="1" x14ac:dyDescent="0.35">
      <c r="A330" s="20" t="s">
        <v>584</v>
      </c>
      <c r="B330" s="8" t="s">
        <v>585</v>
      </c>
      <c r="C330" s="8" t="s">
        <v>442</v>
      </c>
      <c r="D330" s="7" t="s">
        <v>17</v>
      </c>
      <c r="E330" s="59">
        <v>46128</v>
      </c>
      <c r="F330" s="7" t="s">
        <v>26</v>
      </c>
      <c r="G330" s="7" t="s">
        <v>18</v>
      </c>
    </row>
    <row r="331" spans="1:8" ht="15" hidden="1" customHeight="1" outlineLevel="1" x14ac:dyDescent="0.35"/>
    <row r="332" spans="1:8" ht="15" hidden="1" customHeight="1" collapsed="1" x14ac:dyDescent="0.35"/>
    <row r="333" spans="1:8" ht="15" hidden="1" customHeight="1" x14ac:dyDescent="0.35">
      <c r="A333" s="21" t="s">
        <v>586</v>
      </c>
      <c r="B333" s="14"/>
      <c r="C333" s="14"/>
      <c r="D333" s="10"/>
      <c r="E333" s="61">
        <v>46136</v>
      </c>
      <c r="F333" s="10"/>
      <c r="G333" s="10"/>
      <c r="H333" s="21"/>
    </row>
    <row r="334" spans="1:8" ht="15" hidden="1" customHeight="1" outlineLevel="1" x14ac:dyDescent="0.35">
      <c r="A334" s="20" t="s">
        <v>587</v>
      </c>
      <c r="B334" s="8" t="s">
        <v>588</v>
      </c>
      <c r="C334" s="8" t="s">
        <v>314</v>
      </c>
      <c r="D334" s="7" t="s">
        <v>17</v>
      </c>
      <c r="E334" s="59">
        <f>$E$333</f>
        <v>46136</v>
      </c>
      <c r="F334" s="7" t="s">
        <v>21</v>
      </c>
      <c r="G334" s="7" t="s">
        <v>79</v>
      </c>
      <c r="H334" s="20" t="s">
        <v>589</v>
      </c>
    </row>
    <row r="335" spans="1:8" ht="15" hidden="1" customHeight="1" outlineLevel="1" x14ac:dyDescent="0.35">
      <c r="A335" s="20" t="s">
        <v>468</v>
      </c>
      <c r="B335" s="8" t="s">
        <v>590</v>
      </c>
      <c r="C335" s="8" t="s">
        <v>314</v>
      </c>
      <c r="D335" s="7" t="s">
        <v>17</v>
      </c>
      <c r="E335" s="59">
        <f t="shared" ref="E335:E357" si="14">$E$333</f>
        <v>46136</v>
      </c>
      <c r="F335" s="7" t="s">
        <v>30</v>
      </c>
    </row>
    <row r="336" spans="1:8" ht="15" hidden="1" customHeight="1" outlineLevel="1" x14ac:dyDescent="0.35">
      <c r="A336" s="20" t="s">
        <v>468</v>
      </c>
      <c r="B336" s="8" t="s">
        <v>591</v>
      </c>
      <c r="C336" s="8" t="s">
        <v>314</v>
      </c>
      <c r="D336" s="7" t="s">
        <v>17</v>
      </c>
      <c r="E336" s="59">
        <f t="shared" si="14"/>
        <v>46136</v>
      </c>
      <c r="F336" s="7" t="s">
        <v>30</v>
      </c>
    </row>
    <row r="337" spans="1:8" ht="15" hidden="1" customHeight="1" outlineLevel="1" x14ac:dyDescent="0.35">
      <c r="A337" s="20" t="s">
        <v>244</v>
      </c>
      <c r="B337" s="8" t="s">
        <v>592</v>
      </c>
      <c r="C337" s="8" t="s">
        <v>314</v>
      </c>
      <c r="D337" s="7" t="s">
        <v>223</v>
      </c>
      <c r="E337" s="59">
        <f t="shared" si="14"/>
        <v>46136</v>
      </c>
      <c r="F337" s="7" t="s">
        <v>30</v>
      </c>
      <c r="H337" s="20" t="s">
        <v>593</v>
      </c>
    </row>
    <row r="338" spans="1:8" ht="15" hidden="1" customHeight="1" outlineLevel="1" x14ac:dyDescent="0.35">
      <c r="A338" s="20" t="s">
        <v>237</v>
      </c>
      <c r="B338" s="8" t="s">
        <v>594</v>
      </c>
      <c r="C338" s="8" t="s">
        <v>314</v>
      </c>
      <c r="D338" s="7" t="s">
        <v>223</v>
      </c>
      <c r="E338" s="59">
        <f t="shared" si="14"/>
        <v>46136</v>
      </c>
      <c r="F338" s="7" t="s">
        <v>27</v>
      </c>
    </row>
    <row r="339" spans="1:8" ht="15" hidden="1" customHeight="1" outlineLevel="1" x14ac:dyDescent="0.35">
      <c r="A339" s="20" t="s">
        <v>91</v>
      </c>
      <c r="B339" s="8" t="s">
        <v>595</v>
      </c>
      <c r="C339" s="8" t="s">
        <v>314</v>
      </c>
      <c r="D339" s="7" t="s">
        <v>17</v>
      </c>
      <c r="E339" s="59">
        <f t="shared" si="14"/>
        <v>46136</v>
      </c>
      <c r="F339" s="7" t="s">
        <v>48</v>
      </c>
    </row>
    <row r="340" spans="1:8" ht="15" customHeight="1" outlineLevel="1" x14ac:dyDescent="0.35">
      <c r="A340" s="20" t="s">
        <v>596</v>
      </c>
      <c r="B340" s="8" t="s">
        <v>597</v>
      </c>
      <c r="C340" s="8" t="s">
        <v>314</v>
      </c>
      <c r="D340" s="7" t="s">
        <v>518</v>
      </c>
      <c r="E340" s="59">
        <f t="shared" si="14"/>
        <v>46136</v>
      </c>
      <c r="F340" s="7" t="s">
        <v>65</v>
      </c>
    </row>
    <row r="341" spans="1:8" ht="15" hidden="1" customHeight="1" outlineLevel="1" x14ac:dyDescent="0.35">
      <c r="A341" s="20" t="s">
        <v>598</v>
      </c>
      <c r="B341" s="8" t="s">
        <v>599</v>
      </c>
      <c r="C341" s="8" t="s">
        <v>314</v>
      </c>
      <c r="D341" s="7" t="s">
        <v>17</v>
      </c>
      <c r="E341" s="59">
        <f t="shared" si="14"/>
        <v>46136</v>
      </c>
      <c r="F341" s="7" t="s">
        <v>21</v>
      </c>
    </row>
    <row r="342" spans="1:8" ht="26" hidden="1" outlineLevel="1" x14ac:dyDescent="0.35">
      <c r="A342" s="20" t="s">
        <v>600</v>
      </c>
      <c r="B342" s="8" t="s">
        <v>601</v>
      </c>
      <c r="C342" s="8" t="s">
        <v>314</v>
      </c>
      <c r="D342" s="7" t="s">
        <v>17</v>
      </c>
      <c r="E342" s="59">
        <f t="shared" si="14"/>
        <v>46136</v>
      </c>
      <c r="F342" s="7" t="s">
        <v>21</v>
      </c>
    </row>
    <row r="343" spans="1:8" ht="15" hidden="1" customHeight="1" outlineLevel="1" x14ac:dyDescent="0.35">
      <c r="A343" s="20" t="s">
        <v>602</v>
      </c>
      <c r="B343" s="8" t="s">
        <v>603</v>
      </c>
      <c r="C343" s="8" t="s">
        <v>314</v>
      </c>
      <c r="D343" s="7" t="s">
        <v>103</v>
      </c>
      <c r="E343" s="59">
        <f t="shared" si="14"/>
        <v>46136</v>
      </c>
      <c r="F343" s="7" t="s">
        <v>65</v>
      </c>
      <c r="G343" s="7" t="s">
        <v>21</v>
      </c>
    </row>
    <row r="344" spans="1:8" ht="15" hidden="1" customHeight="1" outlineLevel="1" x14ac:dyDescent="0.35">
      <c r="A344" s="20" t="s">
        <v>604</v>
      </c>
      <c r="B344" s="8" t="s">
        <v>605</v>
      </c>
      <c r="C344" s="8" t="s">
        <v>314</v>
      </c>
      <c r="D344" s="7" t="s">
        <v>17</v>
      </c>
      <c r="E344" s="59">
        <f t="shared" si="14"/>
        <v>46136</v>
      </c>
      <c r="F344" s="7" t="s">
        <v>30</v>
      </c>
      <c r="G344" s="7" t="s">
        <v>21</v>
      </c>
    </row>
    <row r="345" spans="1:8" ht="15" hidden="1" customHeight="1" outlineLevel="1" x14ac:dyDescent="0.35">
      <c r="A345" s="20" t="s">
        <v>606</v>
      </c>
      <c r="B345" s="8" t="s">
        <v>603</v>
      </c>
      <c r="C345" s="8" t="s">
        <v>314</v>
      </c>
      <c r="D345" s="7" t="s">
        <v>17</v>
      </c>
      <c r="E345" s="59">
        <f t="shared" si="14"/>
        <v>46136</v>
      </c>
      <c r="F345" s="7" t="s">
        <v>57</v>
      </c>
      <c r="H345" s="20" t="s">
        <v>607</v>
      </c>
    </row>
    <row r="346" spans="1:8" ht="15" hidden="1" customHeight="1" outlineLevel="1" x14ac:dyDescent="0.35">
      <c r="A346" s="20" t="s">
        <v>608</v>
      </c>
      <c r="B346" s="8" t="s">
        <v>609</v>
      </c>
      <c r="C346" s="8" t="s">
        <v>314</v>
      </c>
      <c r="D346" s="7" t="s">
        <v>223</v>
      </c>
      <c r="E346" s="59">
        <f t="shared" si="14"/>
        <v>46136</v>
      </c>
      <c r="F346" s="7" t="s">
        <v>37</v>
      </c>
      <c r="G346" s="7" t="s">
        <v>21</v>
      </c>
      <c r="H346" s="20" t="s">
        <v>610</v>
      </c>
    </row>
    <row r="347" spans="1:8" ht="15" hidden="1" customHeight="1" outlineLevel="1" x14ac:dyDescent="0.35">
      <c r="A347" s="20" t="s">
        <v>611</v>
      </c>
      <c r="B347" s="8" t="s">
        <v>609</v>
      </c>
      <c r="C347" s="8" t="s">
        <v>314</v>
      </c>
      <c r="D347" s="7" t="s">
        <v>223</v>
      </c>
      <c r="E347" s="59">
        <f t="shared" si="14"/>
        <v>46136</v>
      </c>
      <c r="F347" s="7" t="s">
        <v>438</v>
      </c>
      <c r="G347" s="7" t="s">
        <v>27</v>
      </c>
      <c r="H347" s="20" t="s">
        <v>612</v>
      </c>
    </row>
    <row r="348" spans="1:8" ht="15" hidden="1" customHeight="1" outlineLevel="1" x14ac:dyDescent="0.35">
      <c r="A348" s="20" t="s">
        <v>613</v>
      </c>
      <c r="B348" s="8" t="s">
        <v>614</v>
      </c>
      <c r="C348" s="8" t="s">
        <v>363</v>
      </c>
      <c r="D348" s="7" t="s">
        <v>17</v>
      </c>
      <c r="E348" s="59">
        <f t="shared" si="14"/>
        <v>46136</v>
      </c>
      <c r="F348" s="7" t="s">
        <v>57</v>
      </c>
    </row>
    <row r="349" spans="1:8" ht="15" hidden="1" customHeight="1" outlineLevel="1" x14ac:dyDescent="0.35">
      <c r="A349" s="20" t="s">
        <v>615</v>
      </c>
      <c r="B349" s="8" t="s">
        <v>616</v>
      </c>
      <c r="C349" s="8" t="s">
        <v>363</v>
      </c>
      <c r="D349" s="7" t="s">
        <v>17</v>
      </c>
      <c r="E349" s="59">
        <f t="shared" si="14"/>
        <v>46136</v>
      </c>
      <c r="F349" s="7" t="s">
        <v>18</v>
      </c>
    </row>
    <row r="350" spans="1:8" ht="15" hidden="1" customHeight="1" outlineLevel="1" x14ac:dyDescent="0.35">
      <c r="A350" s="20" t="s">
        <v>617</v>
      </c>
      <c r="B350" s="8" t="s">
        <v>618</v>
      </c>
      <c r="C350" s="8" t="s">
        <v>363</v>
      </c>
      <c r="D350" s="7" t="s">
        <v>17</v>
      </c>
      <c r="E350" s="59">
        <f t="shared" si="14"/>
        <v>46136</v>
      </c>
      <c r="F350" s="7" t="s">
        <v>21</v>
      </c>
    </row>
    <row r="351" spans="1:8" ht="15" hidden="1" customHeight="1" outlineLevel="1" x14ac:dyDescent="0.35">
      <c r="A351" s="20" t="s">
        <v>619</v>
      </c>
      <c r="B351" s="8" t="s">
        <v>618</v>
      </c>
      <c r="C351" s="8" t="s">
        <v>363</v>
      </c>
      <c r="D351" s="7" t="s">
        <v>17</v>
      </c>
      <c r="E351" s="59">
        <f t="shared" si="14"/>
        <v>46136</v>
      </c>
      <c r="F351" s="7" t="s">
        <v>21</v>
      </c>
    </row>
    <row r="352" spans="1:8" ht="15" hidden="1" customHeight="1" outlineLevel="1" x14ac:dyDescent="0.35">
      <c r="A352" s="20" t="s">
        <v>620</v>
      </c>
      <c r="B352" s="8" t="s">
        <v>621</v>
      </c>
      <c r="C352" s="8" t="s">
        <v>363</v>
      </c>
      <c r="D352" s="7" t="s">
        <v>17</v>
      </c>
      <c r="E352" s="59">
        <f t="shared" si="14"/>
        <v>46136</v>
      </c>
      <c r="F352" s="7" t="s">
        <v>30</v>
      </c>
    </row>
    <row r="353" spans="1:8" ht="15" hidden="1" customHeight="1" outlineLevel="1" x14ac:dyDescent="0.35">
      <c r="A353" s="20" t="s">
        <v>622</v>
      </c>
      <c r="B353" s="8" t="s">
        <v>623</v>
      </c>
      <c r="C353" s="8" t="s">
        <v>363</v>
      </c>
      <c r="D353" s="7" t="s">
        <v>17</v>
      </c>
      <c r="E353" s="59">
        <f t="shared" si="14"/>
        <v>46136</v>
      </c>
      <c r="F353" s="7" t="s">
        <v>26</v>
      </c>
    </row>
    <row r="354" spans="1:8" ht="15" hidden="1" customHeight="1" outlineLevel="1" x14ac:dyDescent="0.35">
      <c r="A354" s="20" t="s">
        <v>624</v>
      </c>
      <c r="B354" s="8" t="s">
        <v>625</v>
      </c>
      <c r="C354" s="8" t="s">
        <v>363</v>
      </c>
      <c r="D354" s="7" t="s">
        <v>223</v>
      </c>
      <c r="E354" s="59">
        <f t="shared" si="14"/>
        <v>46136</v>
      </c>
      <c r="F354" s="7" t="s">
        <v>48</v>
      </c>
      <c r="H354" s="20" t="s">
        <v>626</v>
      </c>
    </row>
    <row r="355" spans="1:8" ht="15" hidden="1" customHeight="1" outlineLevel="1" x14ac:dyDescent="0.35">
      <c r="A355" s="20" t="s">
        <v>627</v>
      </c>
      <c r="B355" s="8" t="s">
        <v>628</v>
      </c>
      <c r="C355" s="8" t="s">
        <v>363</v>
      </c>
      <c r="D355" s="7" t="s">
        <v>17</v>
      </c>
      <c r="E355" s="59">
        <f t="shared" si="14"/>
        <v>46136</v>
      </c>
      <c r="F355" s="7" t="s">
        <v>18</v>
      </c>
    </row>
    <row r="356" spans="1:8" ht="15" hidden="1" customHeight="1" outlineLevel="1" x14ac:dyDescent="0.35">
      <c r="A356" s="20" t="s">
        <v>629</v>
      </c>
      <c r="B356" s="8" t="s">
        <v>630</v>
      </c>
      <c r="C356" s="8" t="s">
        <v>363</v>
      </c>
      <c r="D356" s="7" t="s">
        <v>17</v>
      </c>
      <c r="E356" s="59">
        <f t="shared" si="14"/>
        <v>46136</v>
      </c>
      <c r="F356" s="7" t="s">
        <v>48</v>
      </c>
    </row>
    <row r="357" spans="1:8" ht="26" hidden="1" outlineLevel="1" x14ac:dyDescent="0.35">
      <c r="A357" s="20" t="s">
        <v>631</v>
      </c>
      <c r="B357" s="8" t="s">
        <v>632</v>
      </c>
      <c r="C357" s="8" t="s">
        <v>363</v>
      </c>
      <c r="D357" s="7" t="s">
        <v>17</v>
      </c>
      <c r="E357" s="59">
        <f t="shared" si="14"/>
        <v>46136</v>
      </c>
      <c r="F357" s="7" t="s">
        <v>26</v>
      </c>
    </row>
    <row r="358" spans="1:8" ht="15" hidden="1" customHeight="1" outlineLevel="1" x14ac:dyDescent="0.35">
      <c r="A358" s="20" t="s">
        <v>633</v>
      </c>
      <c r="B358" s="8" t="s">
        <v>634</v>
      </c>
      <c r="C358" s="8" t="s">
        <v>357</v>
      </c>
      <c r="D358" s="7" t="s">
        <v>17</v>
      </c>
      <c r="E358" s="59">
        <f>$E$333</f>
        <v>46136</v>
      </c>
      <c r="F358" s="7" t="s">
        <v>438</v>
      </c>
    </row>
    <row r="359" spans="1:8" ht="15" hidden="1" customHeight="1" outlineLevel="1" x14ac:dyDescent="0.35">
      <c r="A359" s="20" t="s">
        <v>635</v>
      </c>
      <c r="B359" s="8" t="s">
        <v>636</v>
      </c>
      <c r="C359" s="8" t="s">
        <v>357</v>
      </c>
      <c r="D359" s="7" t="s">
        <v>223</v>
      </c>
      <c r="E359" s="59">
        <f>$E$333</f>
        <v>46136</v>
      </c>
      <c r="F359" s="7" t="s">
        <v>30</v>
      </c>
      <c r="H359" s="20" t="s">
        <v>637</v>
      </c>
    </row>
    <row r="360" spans="1:8" ht="15" hidden="1" customHeight="1" outlineLevel="1" x14ac:dyDescent="0.35">
      <c r="A360" s="20" t="s">
        <v>638</v>
      </c>
      <c r="B360" s="8" t="s">
        <v>636</v>
      </c>
      <c r="C360" s="8" t="s">
        <v>357</v>
      </c>
      <c r="D360" s="7" t="s">
        <v>223</v>
      </c>
      <c r="E360" s="59">
        <f>$E$333</f>
        <v>46136</v>
      </c>
      <c r="F360" s="7" t="s">
        <v>48</v>
      </c>
    </row>
    <row r="361" spans="1:8" ht="15" hidden="1" customHeight="1" outlineLevel="1" x14ac:dyDescent="0.35">
      <c r="A361" s="20" t="s">
        <v>639</v>
      </c>
      <c r="B361" s="8" t="s">
        <v>636</v>
      </c>
      <c r="C361" s="8" t="s">
        <v>357</v>
      </c>
      <c r="D361" s="7" t="s">
        <v>17</v>
      </c>
      <c r="E361" s="59">
        <f>$E$333</f>
        <v>46136</v>
      </c>
      <c r="F361" s="7" t="s">
        <v>37</v>
      </c>
      <c r="H361" s="20" t="s">
        <v>640</v>
      </c>
    </row>
    <row r="362" spans="1:8" ht="15" hidden="1" customHeight="1" x14ac:dyDescent="0.35"/>
    <row r="363" spans="1:8" ht="15" hidden="1" customHeight="1" x14ac:dyDescent="0.35">
      <c r="A363" s="21" t="s">
        <v>641</v>
      </c>
      <c r="B363" s="14"/>
      <c r="C363" s="14"/>
      <c r="D363" s="10"/>
      <c r="E363" s="61">
        <v>46142</v>
      </c>
      <c r="F363" s="10"/>
      <c r="G363" s="10"/>
      <c r="H363" s="21"/>
    </row>
    <row r="364" spans="1:8" ht="15" hidden="1" customHeight="1" outlineLevel="1" x14ac:dyDescent="0.35">
      <c r="A364" s="20" t="s">
        <v>642</v>
      </c>
      <c r="B364" s="8" t="s">
        <v>643</v>
      </c>
      <c r="C364" s="8" t="s">
        <v>314</v>
      </c>
      <c r="D364" s="7" t="s">
        <v>17</v>
      </c>
      <c r="E364" s="59">
        <f>$E$363</f>
        <v>46142</v>
      </c>
      <c r="F364" s="7" t="s">
        <v>40</v>
      </c>
    </row>
    <row r="365" spans="1:8" ht="15" hidden="1" customHeight="1" outlineLevel="1" x14ac:dyDescent="0.35">
      <c r="A365" s="20" t="s">
        <v>642</v>
      </c>
      <c r="B365" s="8" t="s">
        <v>644</v>
      </c>
      <c r="C365" s="8" t="s">
        <v>314</v>
      </c>
      <c r="D365" s="7" t="s">
        <v>17</v>
      </c>
      <c r="E365" s="59">
        <f>$E$363</f>
        <v>46142</v>
      </c>
      <c r="F365" s="7" t="s">
        <v>40</v>
      </c>
    </row>
    <row r="366" spans="1:8" ht="26" hidden="1" outlineLevel="1" x14ac:dyDescent="0.35">
      <c r="A366" s="20" t="s">
        <v>347</v>
      </c>
      <c r="B366" s="8" t="s">
        <v>645</v>
      </c>
      <c r="C366" s="8" t="s">
        <v>314</v>
      </c>
      <c r="D366" s="7" t="s">
        <v>17</v>
      </c>
      <c r="E366" s="59">
        <f>$E$363</f>
        <v>46142</v>
      </c>
      <c r="F366" s="7" t="s">
        <v>57</v>
      </c>
    </row>
    <row r="367" spans="1:8" ht="15" hidden="1" customHeight="1" outlineLevel="1" x14ac:dyDescent="0.35">
      <c r="A367" s="20" t="s">
        <v>646</v>
      </c>
      <c r="B367" s="8" t="s">
        <v>647</v>
      </c>
      <c r="C367" s="8" t="s">
        <v>314</v>
      </c>
      <c r="D367" s="7" t="s">
        <v>17</v>
      </c>
      <c r="E367" s="59">
        <f>$E$363</f>
        <v>46142</v>
      </c>
      <c r="F367" s="7" t="s">
        <v>79</v>
      </c>
      <c r="G367" s="7" t="s">
        <v>30</v>
      </c>
    </row>
    <row r="368" spans="1:8" ht="15" hidden="1" customHeight="1" outlineLevel="1" x14ac:dyDescent="0.35">
      <c r="A368" s="20" t="s">
        <v>312</v>
      </c>
      <c r="B368" s="8" t="s">
        <v>648</v>
      </c>
      <c r="C368" s="8" t="s">
        <v>314</v>
      </c>
      <c r="D368" s="7" t="s">
        <v>17</v>
      </c>
      <c r="E368" s="59">
        <f t="shared" ref="E368:E369" si="15">$E$363</f>
        <v>46142</v>
      </c>
      <c r="F368" s="7" t="s">
        <v>21</v>
      </c>
    </row>
    <row r="369" spans="1:8" ht="26" hidden="1" outlineLevel="1" x14ac:dyDescent="0.35">
      <c r="A369" s="20" t="s">
        <v>312</v>
      </c>
      <c r="B369" s="8" t="s">
        <v>649</v>
      </c>
      <c r="C369" s="8" t="s">
        <v>314</v>
      </c>
      <c r="D369" s="7" t="s">
        <v>17</v>
      </c>
      <c r="E369" s="59">
        <f t="shared" si="15"/>
        <v>46142</v>
      </c>
      <c r="F369" s="7" t="s">
        <v>21</v>
      </c>
    </row>
    <row r="370" spans="1:8" ht="15" hidden="1" customHeight="1" outlineLevel="1" x14ac:dyDescent="0.35">
      <c r="A370" s="20" t="s">
        <v>244</v>
      </c>
      <c r="B370" s="8" t="s">
        <v>650</v>
      </c>
      <c r="C370" s="8" t="s">
        <v>314</v>
      </c>
      <c r="D370" s="7" t="s">
        <v>17</v>
      </c>
      <c r="E370" s="59">
        <v>46139</v>
      </c>
      <c r="F370" s="7" t="s">
        <v>30</v>
      </c>
    </row>
    <row r="371" spans="1:8" ht="15" hidden="1" customHeight="1" outlineLevel="1" x14ac:dyDescent="0.35">
      <c r="A371" s="20" t="s">
        <v>651</v>
      </c>
      <c r="B371" s="8" t="s">
        <v>652</v>
      </c>
      <c r="C371" s="8" t="s">
        <v>314</v>
      </c>
      <c r="D371" s="7" t="s">
        <v>17</v>
      </c>
      <c r="E371" s="59">
        <f t="shared" ref="E371:E377" si="16">$E$363</f>
        <v>46142</v>
      </c>
      <c r="F371" s="7" t="s">
        <v>57</v>
      </c>
    </row>
    <row r="372" spans="1:8" ht="15" hidden="1" customHeight="1" outlineLevel="1" x14ac:dyDescent="0.35">
      <c r="A372" s="20" t="s">
        <v>653</v>
      </c>
      <c r="B372" s="8" t="s">
        <v>175</v>
      </c>
      <c r="C372" s="8" t="s">
        <v>314</v>
      </c>
      <c r="D372" s="7" t="s">
        <v>17</v>
      </c>
      <c r="E372" s="59">
        <f t="shared" si="16"/>
        <v>46142</v>
      </c>
      <c r="F372" s="7" t="s">
        <v>26</v>
      </c>
      <c r="G372" s="7" t="s">
        <v>57</v>
      </c>
    </row>
    <row r="373" spans="1:8" ht="26" hidden="1" outlineLevel="1" x14ac:dyDescent="0.35">
      <c r="A373" s="20" t="s">
        <v>654</v>
      </c>
      <c r="B373" s="8" t="s">
        <v>655</v>
      </c>
      <c r="C373" s="8" t="s">
        <v>314</v>
      </c>
      <c r="D373" s="7" t="s">
        <v>17</v>
      </c>
      <c r="E373" s="59">
        <f t="shared" si="16"/>
        <v>46142</v>
      </c>
      <c r="F373" s="7" t="s">
        <v>30</v>
      </c>
    </row>
    <row r="374" spans="1:8" ht="15" hidden="1" customHeight="1" outlineLevel="1" x14ac:dyDescent="0.35">
      <c r="A374" s="20" t="s">
        <v>656</v>
      </c>
      <c r="B374" s="8" t="s">
        <v>657</v>
      </c>
      <c r="C374" s="8" t="s">
        <v>314</v>
      </c>
      <c r="D374" s="7" t="s">
        <v>17</v>
      </c>
      <c r="E374" s="59">
        <f t="shared" si="16"/>
        <v>46142</v>
      </c>
      <c r="F374" s="7" t="s">
        <v>30</v>
      </c>
    </row>
    <row r="375" spans="1:8" ht="26" hidden="1" outlineLevel="1" x14ac:dyDescent="0.35">
      <c r="A375" s="20" t="s">
        <v>658</v>
      </c>
      <c r="B375" s="8" t="s">
        <v>659</v>
      </c>
      <c r="C375" s="8" t="s">
        <v>314</v>
      </c>
      <c r="D375" s="7" t="s">
        <v>17</v>
      </c>
      <c r="E375" s="59">
        <f t="shared" si="16"/>
        <v>46142</v>
      </c>
      <c r="F375" s="7" t="s">
        <v>26</v>
      </c>
    </row>
    <row r="376" spans="1:8" ht="15" hidden="1" customHeight="1" outlineLevel="1" x14ac:dyDescent="0.35">
      <c r="A376" s="20" t="s">
        <v>660</v>
      </c>
      <c r="B376" s="8" t="s">
        <v>661</v>
      </c>
      <c r="C376" s="8" t="s">
        <v>314</v>
      </c>
      <c r="D376" s="7" t="s">
        <v>17</v>
      </c>
      <c r="E376" s="59">
        <f t="shared" si="16"/>
        <v>46142</v>
      </c>
      <c r="F376" s="7" t="s">
        <v>26</v>
      </c>
    </row>
    <row r="377" spans="1:8" ht="15" hidden="1" customHeight="1" outlineLevel="1" x14ac:dyDescent="0.35">
      <c r="A377" s="20" t="s">
        <v>662</v>
      </c>
      <c r="B377" s="8" t="s">
        <v>663</v>
      </c>
      <c r="C377" s="8" t="s">
        <v>314</v>
      </c>
      <c r="D377" s="7" t="s">
        <v>17</v>
      </c>
      <c r="E377" s="59">
        <f t="shared" si="16"/>
        <v>46142</v>
      </c>
      <c r="F377" s="7" t="s">
        <v>26</v>
      </c>
    </row>
    <row r="378" spans="1:8" ht="15" hidden="1" customHeight="1" outlineLevel="1" x14ac:dyDescent="0.35">
      <c r="A378" s="20" t="s">
        <v>413</v>
      </c>
      <c r="B378" s="8" t="s">
        <v>664</v>
      </c>
      <c r="C378" s="8" t="s">
        <v>314</v>
      </c>
      <c r="D378" s="7" t="s">
        <v>17</v>
      </c>
      <c r="E378" s="59">
        <v>46139</v>
      </c>
      <c r="F378" s="7" t="s">
        <v>30</v>
      </c>
      <c r="G378" s="7" t="s">
        <v>18</v>
      </c>
    </row>
    <row r="379" spans="1:8" ht="15" hidden="1" customHeight="1" outlineLevel="1" x14ac:dyDescent="0.35">
      <c r="A379" s="20" t="s">
        <v>562</v>
      </c>
      <c r="B379" s="8" t="s">
        <v>665</v>
      </c>
      <c r="C379" s="8" t="s">
        <v>314</v>
      </c>
      <c r="D379" s="7" t="s">
        <v>17</v>
      </c>
      <c r="E379" s="59">
        <f>$E$363</f>
        <v>46142</v>
      </c>
      <c r="F379" s="7" t="s">
        <v>18</v>
      </c>
      <c r="G379" s="7" t="s">
        <v>21</v>
      </c>
    </row>
    <row r="380" spans="1:8" ht="15" hidden="1" customHeight="1" outlineLevel="1" x14ac:dyDescent="0.35">
      <c r="A380" s="20" t="s">
        <v>666</v>
      </c>
      <c r="B380" s="8" t="s">
        <v>667</v>
      </c>
      <c r="C380" s="8" t="s">
        <v>314</v>
      </c>
      <c r="D380" s="7" t="s">
        <v>17</v>
      </c>
      <c r="E380" s="59">
        <f>$E$363</f>
        <v>46142</v>
      </c>
      <c r="F380" s="7" t="s">
        <v>18</v>
      </c>
    </row>
    <row r="381" spans="1:8" ht="26" hidden="1" outlineLevel="1" x14ac:dyDescent="0.35">
      <c r="A381" s="20" t="s">
        <v>464</v>
      </c>
      <c r="B381" s="8" t="s">
        <v>668</v>
      </c>
      <c r="C381" s="8" t="s">
        <v>314</v>
      </c>
      <c r="D381" s="7" t="s">
        <v>17</v>
      </c>
      <c r="E381" s="59">
        <f>$E$363</f>
        <v>46142</v>
      </c>
      <c r="F381" s="7" t="s">
        <v>79</v>
      </c>
    </row>
    <row r="382" spans="1:8" ht="15" hidden="1" customHeight="1" outlineLevel="1" x14ac:dyDescent="0.35">
      <c r="A382" s="20" t="s">
        <v>669</v>
      </c>
      <c r="B382" s="8" t="s">
        <v>670</v>
      </c>
      <c r="C382" s="8" t="s">
        <v>363</v>
      </c>
      <c r="D382" s="7" t="s">
        <v>17</v>
      </c>
    </row>
    <row r="383" spans="1:8" ht="15" hidden="1" customHeight="1" collapsed="1" x14ac:dyDescent="0.35"/>
    <row r="384" spans="1:8" ht="15" hidden="1" customHeight="1" x14ac:dyDescent="0.35">
      <c r="A384" s="21" t="s">
        <v>671</v>
      </c>
      <c r="B384" s="14"/>
      <c r="C384" s="14"/>
      <c r="D384" s="10"/>
      <c r="E384" s="61">
        <v>46150</v>
      </c>
      <c r="F384" s="10"/>
      <c r="G384" s="10"/>
      <c r="H384" s="21"/>
    </row>
    <row r="385" spans="1:8" ht="15" hidden="1" customHeight="1" x14ac:dyDescent="0.35">
      <c r="A385" s="20" t="s">
        <v>672</v>
      </c>
      <c r="B385" s="8" t="s">
        <v>673</v>
      </c>
      <c r="D385" s="7" t="s">
        <v>17</v>
      </c>
      <c r="F385" s="7" t="s">
        <v>30</v>
      </c>
    </row>
    <row r="386" spans="1:8" ht="13" hidden="1" x14ac:dyDescent="0.35">
      <c r="A386" s="20" t="s">
        <v>674</v>
      </c>
      <c r="B386" s="8" t="s">
        <v>675</v>
      </c>
    </row>
    <row r="387" spans="1:8" ht="13" hidden="1" x14ac:dyDescent="0.35">
      <c r="A387" s="20" t="s">
        <v>676</v>
      </c>
      <c r="B387" s="8" t="s">
        <v>677</v>
      </c>
      <c r="D387" s="7" t="s">
        <v>17</v>
      </c>
    </row>
    <row r="388" spans="1:8" ht="15" hidden="1" customHeight="1" x14ac:dyDescent="0.35">
      <c r="A388" s="20" t="s">
        <v>371</v>
      </c>
      <c r="B388" s="8" t="s">
        <v>678</v>
      </c>
      <c r="C388" s="8" t="s">
        <v>363</v>
      </c>
      <c r="D388" s="7" t="s">
        <v>17</v>
      </c>
      <c r="E388" s="59">
        <v>46150</v>
      </c>
      <c r="F388" s="7" t="s">
        <v>18</v>
      </c>
    </row>
    <row r="389" spans="1:8" ht="15" hidden="1" customHeight="1" x14ac:dyDescent="0.35"/>
    <row r="390" spans="1:8" ht="15" hidden="1" customHeight="1" x14ac:dyDescent="0.35">
      <c r="A390" s="69" t="s">
        <v>679</v>
      </c>
      <c r="B390" s="14"/>
      <c r="C390" s="14"/>
      <c r="D390" s="10"/>
      <c r="E390" s="61">
        <v>46157</v>
      </c>
      <c r="F390" s="10"/>
      <c r="G390" s="10"/>
      <c r="H390" s="21"/>
    </row>
    <row r="391" spans="1:8" ht="26" hidden="1" x14ac:dyDescent="0.35">
      <c r="A391" s="20" t="s">
        <v>680</v>
      </c>
      <c r="B391" s="8" t="s">
        <v>681</v>
      </c>
      <c r="C391" s="8" t="s">
        <v>442</v>
      </c>
      <c r="D391" s="7" t="s">
        <v>17</v>
      </c>
      <c r="E391" s="59">
        <f t="shared" ref="E391:E396" si="17">$E$390</f>
        <v>46157</v>
      </c>
      <c r="F391" s="7" t="s">
        <v>21</v>
      </c>
      <c r="G391" s="7" t="s">
        <v>65</v>
      </c>
      <c r="H391" s="20" t="s">
        <v>682</v>
      </c>
    </row>
    <row r="392" spans="1:8" ht="15" hidden="1" customHeight="1" x14ac:dyDescent="0.35">
      <c r="A392" s="20" t="s">
        <v>683</v>
      </c>
      <c r="B392" s="8" t="s">
        <v>684</v>
      </c>
      <c r="C392" s="8" t="s">
        <v>442</v>
      </c>
      <c r="D392" s="7" t="s">
        <v>17</v>
      </c>
      <c r="E392" s="59">
        <f t="shared" si="17"/>
        <v>46157</v>
      </c>
      <c r="F392" s="7" t="s">
        <v>18</v>
      </c>
      <c r="G392" s="7" t="s">
        <v>26</v>
      </c>
    </row>
    <row r="393" spans="1:8" ht="15" hidden="1" customHeight="1" x14ac:dyDescent="0.35">
      <c r="A393" s="20" t="s">
        <v>685</v>
      </c>
      <c r="B393" s="8" t="s">
        <v>686</v>
      </c>
      <c r="C393" s="8" t="s">
        <v>442</v>
      </c>
      <c r="D393" s="7" t="s">
        <v>17</v>
      </c>
      <c r="E393" s="59">
        <f t="shared" si="17"/>
        <v>46157</v>
      </c>
      <c r="F393" s="7" t="s">
        <v>37</v>
      </c>
    </row>
    <row r="394" spans="1:8" ht="15" customHeight="1" x14ac:dyDescent="0.35">
      <c r="A394" s="20" t="s">
        <v>687</v>
      </c>
      <c r="B394" s="8" t="s">
        <v>688</v>
      </c>
      <c r="C394" s="8" t="s">
        <v>442</v>
      </c>
      <c r="D394" s="7" t="s">
        <v>518</v>
      </c>
      <c r="E394" s="59">
        <f t="shared" si="17"/>
        <v>46157</v>
      </c>
      <c r="F394" s="7" t="s">
        <v>26</v>
      </c>
    </row>
    <row r="395" spans="1:8" ht="15" hidden="1" customHeight="1" x14ac:dyDescent="0.35">
      <c r="A395" s="20" t="s">
        <v>689</v>
      </c>
      <c r="B395" s="8" t="s">
        <v>690</v>
      </c>
      <c r="C395" s="8" t="s">
        <v>442</v>
      </c>
      <c r="D395" s="7" t="s">
        <v>17</v>
      </c>
      <c r="E395" s="59">
        <f t="shared" si="17"/>
        <v>46157</v>
      </c>
      <c r="F395" s="7" t="s">
        <v>48</v>
      </c>
    </row>
    <row r="396" spans="1:8" ht="15" hidden="1" customHeight="1" x14ac:dyDescent="0.35">
      <c r="A396" s="20" t="s">
        <v>691</v>
      </c>
      <c r="B396" s="8" t="s">
        <v>692</v>
      </c>
      <c r="C396" s="8" t="s">
        <v>442</v>
      </c>
      <c r="D396" s="7" t="s">
        <v>223</v>
      </c>
      <c r="E396" s="59">
        <f t="shared" si="17"/>
        <v>46157</v>
      </c>
      <c r="F396" s="7" t="s">
        <v>65</v>
      </c>
      <c r="G396" s="7" t="s">
        <v>21</v>
      </c>
    </row>
    <row r="397" spans="1:8" ht="26" hidden="1" x14ac:dyDescent="0.35">
      <c r="A397" s="20" t="s">
        <v>693</v>
      </c>
      <c r="B397" s="8" t="s">
        <v>694</v>
      </c>
      <c r="C397" s="8" t="s">
        <v>314</v>
      </c>
      <c r="D397" s="7" t="s">
        <v>17</v>
      </c>
      <c r="E397" s="59">
        <f>$E$390</f>
        <v>46157</v>
      </c>
      <c r="F397" s="7" t="s">
        <v>18</v>
      </c>
    </row>
    <row r="398" spans="1:8" ht="15" hidden="1" customHeight="1" x14ac:dyDescent="0.35">
      <c r="A398" s="20" t="s">
        <v>695</v>
      </c>
      <c r="B398" s="8" t="s">
        <v>696</v>
      </c>
      <c r="C398" s="8" t="s">
        <v>314</v>
      </c>
      <c r="D398" s="7" t="s">
        <v>223</v>
      </c>
      <c r="E398" s="59">
        <v>46153</v>
      </c>
      <c r="F398" s="7" t="s">
        <v>40</v>
      </c>
      <c r="G398" s="7" t="s">
        <v>57</v>
      </c>
    </row>
    <row r="399" spans="1:8" ht="15" hidden="1" customHeight="1" x14ac:dyDescent="0.35">
      <c r="A399" s="20" t="s">
        <v>697</v>
      </c>
      <c r="B399" s="8" t="s">
        <v>698</v>
      </c>
      <c r="C399" s="8" t="s">
        <v>314</v>
      </c>
      <c r="D399" s="7" t="s">
        <v>223</v>
      </c>
      <c r="E399" s="59">
        <v>46157</v>
      </c>
      <c r="F399" s="7" t="s">
        <v>26</v>
      </c>
      <c r="G399" s="7" t="s">
        <v>438</v>
      </c>
      <c r="H399" s="20" t="s">
        <v>699</v>
      </c>
    </row>
    <row r="400" spans="1:8" ht="15" hidden="1" customHeight="1" x14ac:dyDescent="0.35">
      <c r="A400" s="20" t="s">
        <v>700</v>
      </c>
      <c r="B400" s="8" t="s">
        <v>701</v>
      </c>
      <c r="C400" s="8" t="s">
        <v>314</v>
      </c>
      <c r="D400" s="7" t="s">
        <v>17</v>
      </c>
      <c r="E400" s="59">
        <v>46157</v>
      </c>
      <c r="F400" s="7" t="s">
        <v>57</v>
      </c>
      <c r="G400" s="7" t="s">
        <v>48</v>
      </c>
    </row>
    <row r="401" spans="1:8" ht="15" hidden="1" customHeight="1" x14ac:dyDescent="0.35">
      <c r="A401" s="20" t="s">
        <v>702</v>
      </c>
      <c r="B401" s="8" t="s">
        <v>703</v>
      </c>
      <c r="C401" s="8" t="s">
        <v>442</v>
      </c>
      <c r="D401" s="7" t="s">
        <v>17</v>
      </c>
      <c r="E401" s="59">
        <v>46157</v>
      </c>
      <c r="F401" s="7" t="s">
        <v>65</v>
      </c>
      <c r="G401" s="7" t="s">
        <v>21</v>
      </c>
    </row>
    <row r="402" spans="1:8" ht="15" hidden="1" customHeight="1" x14ac:dyDescent="0.35">
      <c r="A402" s="20" t="s">
        <v>704</v>
      </c>
      <c r="B402" s="8" t="s">
        <v>705</v>
      </c>
      <c r="C402" s="8" t="s">
        <v>442</v>
      </c>
      <c r="D402" s="7" t="s">
        <v>17</v>
      </c>
      <c r="E402" s="59">
        <v>46157</v>
      </c>
      <c r="F402" s="7" t="s">
        <v>48</v>
      </c>
    </row>
    <row r="403" spans="1:8" ht="15" hidden="1" customHeight="1" x14ac:dyDescent="0.35">
      <c r="A403" s="20" t="s">
        <v>685</v>
      </c>
      <c r="B403" s="8" t="s">
        <v>706</v>
      </c>
      <c r="C403" s="8" t="s">
        <v>314</v>
      </c>
      <c r="D403" s="7" t="s">
        <v>223</v>
      </c>
      <c r="E403" s="59">
        <v>46157</v>
      </c>
      <c r="F403" s="7" t="s">
        <v>37</v>
      </c>
    </row>
    <row r="404" spans="1:8" ht="15" hidden="1" customHeight="1" x14ac:dyDescent="0.35">
      <c r="A404" s="20" t="s">
        <v>309</v>
      </c>
      <c r="B404" s="8" t="s">
        <v>707</v>
      </c>
      <c r="C404" s="8" t="s">
        <v>363</v>
      </c>
      <c r="D404" s="7" t="s">
        <v>17</v>
      </c>
      <c r="E404" s="59">
        <v>46157</v>
      </c>
      <c r="F404" s="7" t="s">
        <v>57</v>
      </c>
    </row>
    <row r="405" spans="1:8" ht="15" hidden="1" customHeight="1" x14ac:dyDescent="0.35">
      <c r="A405" s="20" t="s">
        <v>708</v>
      </c>
      <c r="B405" s="8" t="s">
        <v>23</v>
      </c>
      <c r="C405" s="8" t="s">
        <v>363</v>
      </c>
      <c r="D405" s="7" t="s">
        <v>17</v>
      </c>
      <c r="E405" s="59">
        <v>46157</v>
      </c>
      <c r="F405" s="7" t="s">
        <v>18</v>
      </c>
    </row>
    <row r="406" spans="1:8" ht="15" hidden="1" customHeight="1" x14ac:dyDescent="0.35">
      <c r="A406" s="20" t="s">
        <v>709</v>
      </c>
      <c r="B406" s="8" t="s">
        <v>710</v>
      </c>
      <c r="C406" s="8" t="s">
        <v>363</v>
      </c>
      <c r="D406" s="7" t="s">
        <v>17</v>
      </c>
      <c r="E406" s="59">
        <v>46157</v>
      </c>
      <c r="F406" s="7" t="s">
        <v>27</v>
      </c>
    </row>
    <row r="407" spans="1:8" ht="15" hidden="1" customHeight="1" x14ac:dyDescent="0.35">
      <c r="A407" s="20" t="s">
        <v>711</v>
      </c>
      <c r="B407" s="8" t="s">
        <v>712</v>
      </c>
      <c r="C407" s="8" t="s">
        <v>363</v>
      </c>
      <c r="D407" s="7" t="s">
        <v>17</v>
      </c>
      <c r="E407" s="59">
        <v>46157</v>
      </c>
      <c r="F407" s="7" t="s">
        <v>48</v>
      </c>
    </row>
    <row r="408" spans="1:8" ht="15" hidden="1" customHeight="1" x14ac:dyDescent="0.35">
      <c r="A408" s="20" t="s">
        <v>713</v>
      </c>
      <c r="B408" s="8" t="s">
        <v>714</v>
      </c>
      <c r="C408" s="8" t="s">
        <v>442</v>
      </c>
      <c r="D408" s="7" t="s">
        <v>17</v>
      </c>
      <c r="E408" s="59">
        <v>46157</v>
      </c>
      <c r="F408" s="7" t="s">
        <v>57</v>
      </c>
    </row>
    <row r="409" spans="1:8" ht="15" hidden="1" customHeight="1" x14ac:dyDescent="0.35">
      <c r="A409" s="20" t="s">
        <v>415</v>
      </c>
      <c r="B409" s="8" t="s">
        <v>714</v>
      </c>
      <c r="C409" s="8" t="s">
        <v>442</v>
      </c>
      <c r="D409" s="7" t="s">
        <v>223</v>
      </c>
      <c r="E409" s="59">
        <v>46157</v>
      </c>
      <c r="F409" s="7" t="s">
        <v>48</v>
      </c>
      <c r="H409" s="20" t="s">
        <v>715</v>
      </c>
    </row>
    <row r="410" spans="1:8" ht="15" hidden="1" customHeight="1" x14ac:dyDescent="0.35"/>
    <row r="411" spans="1:8" ht="13" hidden="1" x14ac:dyDescent="0.35">
      <c r="A411" s="69" t="s">
        <v>716</v>
      </c>
      <c r="B411" s="14"/>
      <c r="C411" s="14"/>
      <c r="D411" s="10"/>
      <c r="E411" s="61">
        <v>46164</v>
      </c>
      <c r="F411" s="10"/>
      <c r="G411" s="10"/>
      <c r="H411" s="21"/>
    </row>
    <row r="412" spans="1:8" ht="15" hidden="1" customHeight="1" x14ac:dyDescent="0.35">
      <c r="A412" s="20" t="s">
        <v>717</v>
      </c>
      <c r="B412" s="8" t="s">
        <v>718</v>
      </c>
      <c r="C412" s="8" t="s">
        <v>314</v>
      </c>
      <c r="D412" s="7" t="s">
        <v>17</v>
      </c>
      <c r="E412" s="59">
        <v>46160</v>
      </c>
      <c r="F412" s="7" t="s">
        <v>48</v>
      </c>
    </row>
    <row r="413" spans="1:8" ht="26" hidden="1" x14ac:dyDescent="0.35">
      <c r="A413" s="20" t="s">
        <v>719</v>
      </c>
      <c r="B413" s="8" t="s">
        <v>720</v>
      </c>
      <c r="C413" s="8" t="s">
        <v>314</v>
      </c>
      <c r="D413" s="7" t="s">
        <v>17</v>
      </c>
      <c r="E413" s="59">
        <f>$E$411</f>
        <v>46164</v>
      </c>
      <c r="F413" s="7" t="s">
        <v>40</v>
      </c>
    </row>
    <row r="414" spans="1:8" ht="15" hidden="1" customHeight="1" x14ac:dyDescent="0.35">
      <c r="A414" s="20" t="s">
        <v>767</v>
      </c>
      <c r="B414" s="8" t="s">
        <v>721</v>
      </c>
      <c r="C414" s="8" t="s">
        <v>314</v>
      </c>
      <c r="D414" s="7" t="s">
        <v>223</v>
      </c>
      <c r="E414" s="59">
        <f>$E$411</f>
        <v>46164</v>
      </c>
      <c r="F414" s="7" t="s">
        <v>30</v>
      </c>
    </row>
    <row r="415" spans="1:8" ht="15" hidden="1" customHeight="1" x14ac:dyDescent="0.35">
      <c r="A415" s="20" t="s">
        <v>722</v>
      </c>
      <c r="B415" s="8" t="s">
        <v>723</v>
      </c>
      <c r="C415" s="8" t="s">
        <v>314</v>
      </c>
      <c r="D415" s="7" t="s">
        <v>17</v>
      </c>
      <c r="E415" s="59">
        <f>$E$411</f>
        <v>46164</v>
      </c>
      <c r="F415" s="7" t="s">
        <v>21</v>
      </c>
    </row>
    <row r="416" spans="1:8" ht="15" hidden="1" customHeight="1" x14ac:dyDescent="0.35">
      <c r="A416" s="20" t="s">
        <v>55</v>
      </c>
      <c r="B416" s="8" t="s">
        <v>724</v>
      </c>
      <c r="C416" s="8" t="s">
        <v>314</v>
      </c>
      <c r="D416" s="7" t="s">
        <v>17</v>
      </c>
      <c r="E416" s="59">
        <v>46160</v>
      </c>
      <c r="F416" s="7" t="s">
        <v>57</v>
      </c>
    </row>
    <row r="417" spans="1:8" ht="15" hidden="1" customHeight="1" x14ac:dyDescent="0.35">
      <c r="A417" s="20" t="s">
        <v>55</v>
      </c>
      <c r="B417" s="8" t="s">
        <v>725</v>
      </c>
      <c r="C417" s="8" t="s">
        <v>314</v>
      </c>
      <c r="D417" s="7" t="s">
        <v>17</v>
      </c>
      <c r="E417" s="59">
        <v>46160</v>
      </c>
      <c r="F417" s="7" t="s">
        <v>57</v>
      </c>
    </row>
    <row r="418" spans="1:8" ht="15" hidden="1" customHeight="1" x14ac:dyDescent="0.35">
      <c r="A418" s="20" t="s">
        <v>244</v>
      </c>
      <c r="B418" s="8" t="s">
        <v>726</v>
      </c>
      <c r="C418" s="8" t="s">
        <v>314</v>
      </c>
      <c r="D418" s="7" t="s">
        <v>223</v>
      </c>
      <c r="E418" s="59">
        <f>$E$411</f>
        <v>46164</v>
      </c>
      <c r="F418" s="7" t="s">
        <v>30</v>
      </c>
    </row>
    <row r="419" spans="1:8" ht="15" hidden="1" customHeight="1" x14ac:dyDescent="0.35">
      <c r="A419" s="20" t="s">
        <v>727</v>
      </c>
      <c r="B419" s="8" t="s">
        <v>728</v>
      </c>
      <c r="C419" s="8" t="s">
        <v>363</v>
      </c>
      <c r="D419" s="7" t="s">
        <v>17</v>
      </c>
      <c r="E419" s="59">
        <v>46162</v>
      </c>
      <c r="F419" s="7" t="s">
        <v>27</v>
      </c>
    </row>
    <row r="420" spans="1:8" ht="15" hidden="1" customHeight="1" x14ac:dyDescent="0.35">
      <c r="A420" s="20" t="s">
        <v>251</v>
      </c>
      <c r="B420" s="8" t="s">
        <v>729</v>
      </c>
      <c r="C420" s="8" t="s">
        <v>363</v>
      </c>
      <c r="D420" s="7" t="s">
        <v>17</v>
      </c>
      <c r="E420" s="59">
        <v>46160</v>
      </c>
      <c r="F420" s="7" t="s">
        <v>27</v>
      </c>
    </row>
    <row r="421" spans="1:8" ht="15" customHeight="1" x14ac:dyDescent="0.35">
      <c r="A421" s="20" t="s">
        <v>730</v>
      </c>
      <c r="B421" s="8" t="s">
        <v>731</v>
      </c>
      <c r="C421" s="8" t="s">
        <v>442</v>
      </c>
      <c r="D421" s="7" t="s">
        <v>223</v>
      </c>
      <c r="E421" s="59">
        <f>$E$411</f>
        <v>46164</v>
      </c>
      <c r="F421" s="7" t="s">
        <v>18</v>
      </c>
    </row>
    <row r="422" spans="1:8" ht="91" hidden="1" x14ac:dyDescent="0.35">
      <c r="A422" s="20" t="s">
        <v>732</v>
      </c>
      <c r="B422" s="70" t="s">
        <v>733</v>
      </c>
      <c r="C422" s="8" t="s">
        <v>442</v>
      </c>
      <c r="D422" s="7" t="s">
        <v>223</v>
      </c>
      <c r="E422" s="59">
        <f>$E$436</f>
        <v>46171</v>
      </c>
      <c r="F422" s="7" t="s">
        <v>79</v>
      </c>
    </row>
    <row r="423" spans="1:8" ht="26" hidden="1" x14ac:dyDescent="0.35">
      <c r="A423" s="20" t="s">
        <v>745</v>
      </c>
      <c r="B423" s="70" t="s">
        <v>746</v>
      </c>
      <c r="C423" s="8" t="s">
        <v>363</v>
      </c>
      <c r="D423" s="7" t="s">
        <v>223</v>
      </c>
      <c r="E423" s="59">
        <f t="shared" ref="E423:E428" si="18">$E$411</f>
        <v>46164</v>
      </c>
      <c r="F423" s="7" t="s">
        <v>30</v>
      </c>
    </row>
    <row r="424" spans="1:8" ht="26" hidden="1" x14ac:dyDescent="0.35">
      <c r="A424" s="20" t="s">
        <v>476</v>
      </c>
      <c r="B424" s="70" t="s">
        <v>747</v>
      </c>
      <c r="C424" s="8" t="s">
        <v>363</v>
      </c>
      <c r="D424" s="7" t="s">
        <v>223</v>
      </c>
      <c r="E424" s="59">
        <f t="shared" si="18"/>
        <v>46164</v>
      </c>
      <c r="F424" s="7" t="s">
        <v>48</v>
      </c>
      <c r="H424" s="20" t="s">
        <v>759</v>
      </c>
    </row>
    <row r="425" spans="1:8" ht="13" hidden="1" x14ac:dyDescent="0.35">
      <c r="A425" s="20" t="s">
        <v>748</v>
      </c>
      <c r="B425" s="70" t="s">
        <v>749</v>
      </c>
      <c r="C425" s="8" t="s">
        <v>363</v>
      </c>
      <c r="D425" s="7" t="s">
        <v>17</v>
      </c>
      <c r="E425" s="59">
        <f t="shared" si="18"/>
        <v>46164</v>
      </c>
      <c r="F425" s="7" t="s">
        <v>37</v>
      </c>
    </row>
    <row r="426" spans="1:8" ht="26" hidden="1" x14ac:dyDescent="0.35">
      <c r="A426" s="20" t="s">
        <v>244</v>
      </c>
      <c r="B426" s="70" t="s">
        <v>750</v>
      </c>
      <c r="C426" s="8" t="s">
        <v>363</v>
      </c>
      <c r="D426" s="7" t="s">
        <v>17</v>
      </c>
      <c r="E426" s="59">
        <f t="shared" si="18"/>
        <v>46164</v>
      </c>
      <c r="F426" s="7" t="s">
        <v>30</v>
      </c>
      <c r="G426" s="7" t="s">
        <v>30</v>
      </c>
    </row>
    <row r="427" spans="1:8" ht="13" x14ac:dyDescent="0.35">
      <c r="A427" s="20" t="s">
        <v>751</v>
      </c>
      <c r="B427" s="70" t="s">
        <v>752</v>
      </c>
      <c r="C427" s="8" t="s">
        <v>363</v>
      </c>
      <c r="D427" s="7" t="s">
        <v>17</v>
      </c>
      <c r="E427" s="59">
        <f t="shared" si="18"/>
        <v>46164</v>
      </c>
      <c r="F427" s="7" t="s">
        <v>21</v>
      </c>
    </row>
    <row r="428" spans="1:8" ht="13" hidden="1" x14ac:dyDescent="0.35">
      <c r="A428" s="20" t="s">
        <v>753</v>
      </c>
      <c r="B428" s="70" t="s">
        <v>754</v>
      </c>
      <c r="C428" s="8" t="s">
        <v>363</v>
      </c>
      <c r="D428" s="7" t="s">
        <v>223</v>
      </c>
      <c r="E428" s="59">
        <f t="shared" si="18"/>
        <v>46164</v>
      </c>
      <c r="F428" s="7" t="s">
        <v>79</v>
      </c>
    </row>
    <row r="429" spans="1:8" ht="13" x14ac:dyDescent="0.35">
      <c r="A429" s="20" t="s">
        <v>35</v>
      </c>
      <c r="B429" s="70" t="s">
        <v>755</v>
      </c>
      <c r="D429" s="7" t="s">
        <v>518</v>
      </c>
    </row>
    <row r="430" spans="1:8" ht="65" hidden="1" x14ac:dyDescent="0.35">
      <c r="A430" s="20" t="s">
        <v>361</v>
      </c>
      <c r="B430" s="70" t="s">
        <v>756</v>
      </c>
      <c r="C430" s="8" t="s">
        <v>363</v>
      </c>
      <c r="D430" s="7" t="s">
        <v>17</v>
      </c>
      <c r="E430" s="59">
        <f>$E$411</f>
        <v>46164</v>
      </c>
      <c r="F430" s="7" t="s">
        <v>40</v>
      </c>
      <c r="H430" s="20" t="s">
        <v>757</v>
      </c>
    </row>
    <row r="431" spans="1:8" ht="15" hidden="1" customHeight="1" x14ac:dyDescent="0.35">
      <c r="A431" s="20" t="s">
        <v>322</v>
      </c>
      <c r="B431" s="8" t="s">
        <v>738</v>
      </c>
      <c r="C431" s="8" t="s">
        <v>363</v>
      </c>
      <c r="D431" s="7" t="s">
        <v>17</v>
      </c>
      <c r="E431" s="59">
        <f>$E$411</f>
        <v>46164</v>
      </c>
      <c r="F431" s="7" t="s">
        <v>21</v>
      </c>
    </row>
    <row r="432" spans="1:8" ht="15" hidden="1" customHeight="1" x14ac:dyDescent="0.35">
      <c r="A432" s="20" t="s">
        <v>739</v>
      </c>
      <c r="B432" s="8" t="s">
        <v>740</v>
      </c>
      <c r="C432" s="8" t="s">
        <v>363</v>
      </c>
      <c r="D432" s="7" t="s">
        <v>223</v>
      </c>
      <c r="E432" s="59">
        <f>$E$411</f>
        <v>46164</v>
      </c>
      <c r="F432" s="7" t="s">
        <v>79</v>
      </c>
    </row>
    <row r="433" spans="1:8" ht="15" hidden="1" customHeight="1" x14ac:dyDescent="0.35">
      <c r="A433" s="20" t="s">
        <v>741</v>
      </c>
      <c r="B433" s="8" t="s">
        <v>742</v>
      </c>
      <c r="C433" s="8" t="s">
        <v>363</v>
      </c>
      <c r="D433" s="7" t="s">
        <v>17</v>
      </c>
      <c r="E433" s="59">
        <f>$E$411</f>
        <v>46164</v>
      </c>
      <c r="F433" s="7" t="s">
        <v>37</v>
      </c>
    </row>
    <row r="434" spans="1:8" ht="15" hidden="1" customHeight="1" x14ac:dyDescent="0.35">
      <c r="A434" s="20" t="s">
        <v>743</v>
      </c>
      <c r="B434" s="8" t="s">
        <v>744</v>
      </c>
      <c r="C434" s="8" t="s">
        <v>363</v>
      </c>
      <c r="D434" s="7" t="s">
        <v>223</v>
      </c>
      <c r="E434" s="59">
        <f>$E$411</f>
        <v>46164</v>
      </c>
      <c r="F434" s="7" t="s">
        <v>21</v>
      </c>
    </row>
    <row r="435" spans="1:8" ht="15" hidden="1" customHeight="1" x14ac:dyDescent="0.35"/>
    <row r="436" spans="1:8" ht="13" hidden="1" x14ac:dyDescent="0.35">
      <c r="A436" s="69" t="s">
        <v>734</v>
      </c>
      <c r="B436" s="14"/>
      <c r="C436" s="14"/>
      <c r="D436" s="10"/>
      <c r="E436" s="61">
        <v>46171</v>
      </c>
      <c r="F436" s="10"/>
      <c r="G436" s="10"/>
      <c r="H436" s="21"/>
    </row>
    <row r="437" spans="1:8" ht="91" x14ac:dyDescent="0.35">
      <c r="A437" s="20" t="s">
        <v>717</v>
      </c>
      <c r="B437" s="70" t="s">
        <v>733</v>
      </c>
      <c r="C437" s="8" t="s">
        <v>442</v>
      </c>
      <c r="D437" s="7" t="s">
        <v>518</v>
      </c>
      <c r="E437" s="59">
        <f>$E$436</f>
        <v>46171</v>
      </c>
      <c r="F437" s="7" t="s">
        <v>79</v>
      </c>
    </row>
    <row r="438" spans="1:8" ht="104" hidden="1" x14ac:dyDescent="0.35">
      <c r="A438" s="20" t="s">
        <v>735</v>
      </c>
      <c r="B438" s="71" t="s">
        <v>736</v>
      </c>
      <c r="C438" s="8" t="s">
        <v>442</v>
      </c>
      <c r="D438" s="7" t="s">
        <v>223</v>
      </c>
      <c r="E438" s="59">
        <f>$E$436</f>
        <v>46171</v>
      </c>
      <c r="F438" s="7" t="s">
        <v>57</v>
      </c>
    </row>
    <row r="439" spans="1:8" ht="15" customHeight="1" x14ac:dyDescent="0.35">
      <c r="A439" s="20" t="s">
        <v>761</v>
      </c>
      <c r="B439" s="8" t="s">
        <v>762</v>
      </c>
      <c r="C439" s="8" t="s">
        <v>314</v>
      </c>
      <c r="D439" s="7" t="s">
        <v>518</v>
      </c>
      <c r="E439" s="59">
        <f>$E$436</f>
        <v>46171</v>
      </c>
      <c r="F439" s="7" t="s">
        <v>30</v>
      </c>
    </row>
    <row r="440" spans="1:8" ht="15" customHeight="1" x14ac:dyDescent="0.35">
      <c r="A440" s="20" t="s">
        <v>763</v>
      </c>
      <c r="B440" s="8" t="s">
        <v>764</v>
      </c>
      <c r="C440" s="8" t="s">
        <v>314</v>
      </c>
      <c r="D440" s="7" t="s">
        <v>518</v>
      </c>
      <c r="E440" s="59">
        <f>$E$436</f>
        <v>46171</v>
      </c>
      <c r="F440" s="7" t="s">
        <v>79</v>
      </c>
    </row>
    <row r="441" spans="1:8" ht="15" customHeight="1" x14ac:dyDescent="0.35">
      <c r="A441" s="20" t="s">
        <v>765</v>
      </c>
      <c r="B441" s="8" t="s">
        <v>766</v>
      </c>
      <c r="C441" s="8" t="s">
        <v>314</v>
      </c>
      <c r="D441" s="7" t="s">
        <v>518</v>
      </c>
      <c r="E441" s="59">
        <f>$E$436</f>
        <v>46171</v>
      </c>
      <c r="F441" s="7" t="s">
        <v>57</v>
      </c>
    </row>
  </sheetData>
  <autoFilter ref="A1:K441" xr:uid="{E08AB148-B0E9-47D9-816D-FA3A5B0C2B2A}">
    <filterColumn colId="3">
      <filters>
        <filter val="Not started"/>
      </filters>
    </filterColumn>
  </autoFilter>
  <dataValidations count="1">
    <dataValidation allowBlank="1" showInputMessage="1" showErrorMessage="1" sqref="H1:H270 H272:H1048576" xr:uid="{201E3743-E877-4473-B8A6-776FE5AEBFCD}"/>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97E26343-88DC-4340-803B-F03E9D4C6587}">
            <xm:f>NOT(ISERROR(SEARCH(Lists!$B$6,D1)))</xm:f>
            <xm:f>Lists!$B$6</xm:f>
            <x14:dxf>
              <font>
                <color theme="1"/>
              </font>
              <fill>
                <patternFill patternType="solid">
                  <bgColor theme="2"/>
                </patternFill>
              </fill>
            </x14:dxf>
          </x14:cfRule>
          <x14:cfRule type="containsText" priority="2" operator="containsText" id="{0978B2B5-248B-4A70-B687-C6542BA7D024}">
            <xm:f>NOT(ISERROR(SEARCH(Lists!$B$3,D1)))</xm:f>
            <xm:f>Lists!$B$3</xm:f>
            <x14:dxf>
              <font>
                <color theme="1"/>
              </font>
              <fill>
                <patternFill patternType="solid">
                  <bgColor theme="8" tint="0.59999389629810485"/>
                </patternFill>
              </fill>
            </x14:dxf>
          </x14:cfRule>
          <x14:cfRule type="containsText" priority="3" operator="containsText" id="{548C9434-0833-4604-A27A-E5197899A769}">
            <xm:f>NOT(ISERROR(SEARCH(Lists!$B$4,D1)))</xm:f>
            <xm:f>Lists!$B$4</xm:f>
            <x14:dxf>
              <font>
                <color theme="1"/>
              </font>
              <fill>
                <patternFill patternType="solid">
                  <bgColor rgb="FFFF0000"/>
                </patternFill>
              </fill>
            </x14:dxf>
          </x14:cfRule>
          <x14:cfRule type="containsText" priority="4" operator="containsText" id="{24C8BC1F-F06B-4168-B7FC-2E4BDB141368}">
            <xm:f>NOT(ISERROR(SEARCH(Lists!$B$2,D1)))</xm:f>
            <xm:f>Lists!$B$2</xm:f>
            <x14:dxf>
              <font>
                <color theme="1"/>
              </font>
              <fill>
                <patternFill patternType="solid">
                  <bgColor theme="9" tint="0.39997558519241921"/>
                </patternFill>
              </fill>
            </x14:dxf>
          </x14:cfRule>
          <x14:cfRule type="containsText" priority="5" operator="containsText" id="{283999AC-F3D9-4F2D-B467-90369313C181}">
            <xm:f>NOT(ISERROR(SEARCH(Lists!$B$5,D1)))</xm:f>
            <xm:f>Lists!$B$5</xm:f>
            <x14:dxf>
              <font>
                <color theme="1"/>
              </font>
              <fill>
                <patternFill patternType="solid">
                  <bgColor rgb="FFC00000"/>
                </patternFill>
              </fill>
            </x14:dxf>
          </x14:cfRule>
          <xm:sqref>D1:D270 D272:D1048576</xm:sqref>
        </x14:conditionalFormatting>
      </x14:conditionalFormattings>
    </ext>
    <ext xmlns:x14="http://schemas.microsoft.com/office/spreadsheetml/2009/9/main" uri="{CCE6A557-97BC-4b89-ADB6-D9C93CAAB3DF}">
      <x14:dataValidations xmlns:xm="http://schemas.microsoft.com/office/excel/2006/main" count="4">
        <x14:dataValidation type="list" errorStyle="warning" allowBlank="1" showInputMessage="1" showErrorMessage="1" error="Pick from drop down list!" xr:uid="{D3365806-1A09-4B8C-91E7-8C04AEADF90E}">
          <x14:formula1>
            <xm:f>Lists!$D$2:$D$1048576</xm:f>
          </x14:formula1>
          <xm:sqref>F2:F270 F272:F1048576</xm:sqref>
        </x14:dataValidation>
        <x14:dataValidation type="list" allowBlank="1" showInputMessage="1" showErrorMessage="1" prompt="Pick from drop down list!" xr:uid="{D7873D69-7CFE-47E6-AFCC-862161C8951E}">
          <x14:formula1>
            <xm:f>Lists!$B$2:$B$1048576</xm:f>
          </x14:formula1>
          <xm:sqref>D1:D270 D272:D1048576</xm:sqref>
        </x14:dataValidation>
        <x14:dataValidation type="list" allowBlank="1" showInputMessage="1" showErrorMessage="1" xr:uid="{D9DA1F25-1C03-47D3-9C66-6C127ED8DF94}">
          <x14:formula1>
            <xm:f>Lists!$D$2:$D$1048576</xm:f>
          </x14:formula1>
          <xm:sqref>G2:G270 G272:G1048576</xm:sqref>
        </x14:dataValidation>
        <x14:dataValidation type="list" allowBlank="1" showInputMessage="1" showErrorMessage="1" error="Pick entry from drop down list" xr:uid="{15D54A77-0C16-4468-9277-8573D8B9A0DA}">
          <x14:formula1>
            <xm:f>Lists!$F$2:$F$1048576</xm:f>
          </x14:formula1>
          <xm:sqref>C2:C270 C272:C1048576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8069-BFD1-4DDF-88E0-9D330057D70F}">
  <dimension ref="B1:F18"/>
  <sheetViews>
    <sheetView topLeftCell="G1" workbookViewId="0">
      <pane xSplit="1" ySplit="1" topLeftCell="H2" activePane="bottomRight" state="frozen"/>
      <selection pane="topRight" activeCell="H1" sqref="H1"/>
      <selection pane="bottomLeft" activeCell="G2" sqref="G2"/>
      <selection pane="bottomRight" activeCell="G9" sqref="G9"/>
    </sheetView>
  </sheetViews>
  <sheetFormatPr defaultRowHeight="14.5" x14ac:dyDescent="0.35"/>
  <cols>
    <col min="1" max="1" width="3.81640625" customWidth="1"/>
    <col min="3" max="3" width="3.81640625" customWidth="1"/>
    <col min="4" max="4" width="11.453125" customWidth="1"/>
    <col min="5" max="5" width="4.26953125" customWidth="1"/>
    <col min="6" max="6" width="13" customWidth="1"/>
  </cols>
  <sheetData>
    <row r="1" spans="2:6" x14ac:dyDescent="0.35">
      <c r="B1" s="23" t="s">
        <v>9</v>
      </c>
      <c r="D1" s="23" t="s">
        <v>737</v>
      </c>
      <c r="F1" s="23" t="s">
        <v>8</v>
      </c>
    </row>
    <row r="2" spans="2:6" x14ac:dyDescent="0.35">
      <c r="B2" s="24" t="s">
        <v>17</v>
      </c>
      <c r="D2" s="24" t="s">
        <v>30</v>
      </c>
      <c r="F2" s="24" t="s">
        <v>314</v>
      </c>
    </row>
    <row r="3" spans="2:6" x14ac:dyDescent="0.35">
      <c r="B3" s="24" t="s">
        <v>223</v>
      </c>
      <c r="D3" s="24" t="s">
        <v>57</v>
      </c>
      <c r="F3" s="24" t="s">
        <v>363</v>
      </c>
    </row>
    <row r="4" spans="2:6" x14ac:dyDescent="0.35">
      <c r="B4" s="24" t="s">
        <v>248</v>
      </c>
      <c r="D4" s="24" t="s">
        <v>26</v>
      </c>
      <c r="F4" s="24" t="s">
        <v>442</v>
      </c>
    </row>
    <row r="5" spans="2:6" x14ac:dyDescent="0.35">
      <c r="B5" s="24" t="s">
        <v>518</v>
      </c>
      <c r="D5" s="24" t="s">
        <v>21</v>
      </c>
      <c r="F5" s="24" t="s">
        <v>357</v>
      </c>
    </row>
    <row r="6" spans="2:6" x14ac:dyDescent="0.35">
      <c r="B6" s="24" t="s">
        <v>103</v>
      </c>
      <c r="D6" s="24" t="s">
        <v>65</v>
      </c>
      <c r="F6" s="24" t="s">
        <v>387</v>
      </c>
    </row>
    <row r="7" spans="2:6" x14ac:dyDescent="0.35">
      <c r="D7" s="24" t="s">
        <v>40</v>
      </c>
    </row>
    <row r="8" spans="2:6" x14ac:dyDescent="0.35">
      <c r="D8" s="24" t="s">
        <v>37</v>
      </c>
    </row>
    <row r="9" spans="2:6" x14ac:dyDescent="0.35">
      <c r="D9" s="24" t="s">
        <v>79</v>
      </c>
    </row>
    <row r="10" spans="2:6" x14ac:dyDescent="0.35">
      <c r="D10" s="24" t="s">
        <v>18</v>
      </c>
    </row>
    <row r="11" spans="2:6" x14ac:dyDescent="0.35">
      <c r="D11" s="24" t="s">
        <v>27</v>
      </c>
    </row>
    <row r="12" spans="2:6" x14ac:dyDescent="0.35">
      <c r="D12" s="24" t="s">
        <v>438</v>
      </c>
    </row>
    <row r="13" spans="2:6" x14ac:dyDescent="0.35">
      <c r="D13" s="24" t="s">
        <v>48</v>
      </c>
    </row>
    <row r="17" spans="4:4" x14ac:dyDescent="0.35">
      <c r="D17" s="24"/>
    </row>
    <row r="18" spans="4:4" x14ac:dyDescent="0.35">
      <c r="D18" s="24"/>
    </row>
  </sheetData>
  <autoFilter ref="D1:D18" xr:uid="{86728069-BFD1-4DDF-88E0-9D330057D70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E7899A46E90F4883930E0541E331BD" ma:contentTypeVersion="14" ma:contentTypeDescription="Create a new document." ma:contentTypeScope="" ma:versionID="cb18000f7f03a4a069b3b79d18a950da">
  <xsd:schema xmlns:xsd="http://www.w3.org/2001/XMLSchema" xmlns:xs="http://www.w3.org/2001/XMLSchema" xmlns:p="http://schemas.microsoft.com/office/2006/metadata/properties" xmlns:ns2="d57b909b-a733-4f1e-a03e-db13c26606ea" xmlns:ns3="a5e6882a-9fea-497e-b7d3-a4430998ad32" targetNamespace="http://schemas.microsoft.com/office/2006/metadata/properties" ma:root="true" ma:fieldsID="556d1de53774cf7f092a0188ea7cb7fb" ns2:_="" ns3:_="">
    <xsd:import namespace="d57b909b-a733-4f1e-a03e-db13c26606ea"/>
    <xsd:import namespace="a5e6882a-9fea-497e-b7d3-a4430998ad3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Lead"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7b909b-a733-4f1e-a03e-db13c26606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da94dfa-7190-4bf7-8881-735bf7566a6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ead" ma:index="20" nillable="true" ma:displayName="Lead" ma:description="lEAD " ma:format="Dropdown" ma:list="UserInfo" ma:SharePointGroup="0" ma:internalName="Lead">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5e6882a-9fea-497e-b7d3-a4430998ad3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eb08512-cbaa-433f-a058-6854cfba1a05}" ma:internalName="TaxCatchAll" ma:showField="CatchAllData" ma:web="a5e6882a-9fea-497e-b7d3-a4430998ad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ead xmlns="d57b909b-a733-4f1e-a03e-db13c26606ea">
      <UserInfo>
        <DisplayName/>
        <AccountId xsi:nil="true"/>
        <AccountType/>
      </UserInfo>
    </Lead>
    <lcf76f155ced4ddcb4097134ff3c332f xmlns="d57b909b-a733-4f1e-a03e-db13c26606ea">
      <Terms xmlns="http://schemas.microsoft.com/office/infopath/2007/PartnerControls"/>
    </lcf76f155ced4ddcb4097134ff3c332f>
    <TaxCatchAll xmlns="a5e6882a-9fea-497e-b7d3-a4430998ad3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022019-054F-43B6-BC0A-82597A48D2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7b909b-a733-4f1e-a03e-db13c26606ea"/>
    <ds:schemaRef ds:uri="a5e6882a-9fea-497e-b7d3-a4430998ad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C0F2126-230A-4B15-9ADB-49E00D1DA050}">
  <ds:schemaRefs>
    <ds:schemaRef ds:uri="http://schemas.microsoft.com/office/infopath/2007/PartnerControls"/>
    <ds:schemaRef ds:uri="a5e6882a-9fea-497e-b7d3-a4430998ad32"/>
    <ds:schemaRef ds:uri="http://www.w3.org/XML/1998/namespace"/>
    <ds:schemaRef ds:uri="http://schemas.microsoft.com/office/2006/documentManagement/types"/>
    <ds:schemaRef ds:uri="http://schemas.microsoft.com/office/2006/metadata/properties"/>
    <ds:schemaRef ds:uri="http://purl.org/dc/elements/1.1/"/>
    <ds:schemaRef ds:uri="d57b909b-a733-4f1e-a03e-db13c26606ea"/>
    <ds:schemaRef ds:uri="http://purl.org/dc/terms/"/>
    <ds:schemaRef ds:uri="http://purl.org/dc/dcmitype/"/>
    <ds:schemaRef ds:uri="http://schemas.openxmlformats.org/package/2006/metadata/core-properties"/>
  </ds:schemaRefs>
</ds:datastoreItem>
</file>

<file path=customXml/itemProps3.xml><?xml version="1.0" encoding="utf-8"?>
<ds:datastoreItem xmlns:ds="http://schemas.openxmlformats.org/officeDocument/2006/customXml" ds:itemID="{2E85B192-7B67-439A-B32B-93A5A20AE41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1</DocSecurity>
  <ScaleCrop>false</ScaleCrop>
  <HeadingPairs>
    <vt:vector size="2" baseType="variant">
      <vt:variant>
        <vt:lpstr>Worksheets</vt:lpstr>
      </vt:variant>
      <vt:variant>
        <vt:i4>3</vt:i4>
      </vt:variant>
    </vt:vector>
  </HeadingPairs>
  <TitlesOfParts>
    <vt:vector size="3" baseType="lpstr">
      <vt:lpstr>Dashboard</vt:lpstr>
      <vt:lpstr>Task Tracker</vt:lpstr>
      <vt:lpstr>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Mugonyi</dc:creator>
  <cp:keywords/>
  <dc:description/>
  <cp:lastModifiedBy>Evans Wesonga</cp:lastModifiedBy>
  <cp:revision/>
  <dcterms:created xsi:type="dcterms:W3CDTF">2026-02-06T12:06:52Z</dcterms:created>
  <dcterms:modified xsi:type="dcterms:W3CDTF">2026-05-28T20:59:25Z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0x010100DFE7899A46E90F4883930E0541E331BD</vt:lpwstr>
  </property>
  <property fmtid="{D5CDD505-2E9C-101B-9397-08002B2CF9AE}" pid="3" name="MediaServiceImageTags">
    <vt:lpwstr/>
  </property>
</Properties>
</file>